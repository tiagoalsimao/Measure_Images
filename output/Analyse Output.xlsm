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go\eclipse-workspace\Measure_Images\output\"/>
    </mc:Choice>
  </mc:AlternateContent>
  <xr:revisionPtr revIDLastSave="0" documentId="13_ncr:1_{24AD2BA8-EC10-49EF-97B4-0FBA4CC1D163}" xr6:coauthVersionLast="45" xr6:coauthVersionMax="45" xr10:uidLastSave="{00000000-0000-0000-0000-000000000000}"/>
  <bookViews>
    <workbookView xWindow="-108" yWindow="-108" windowWidth="23256" windowHeight="12576" xr2:uid="{B71EEB06-AFA8-479A-91BA-59A4569FB237}"/>
  </bookViews>
  <sheets>
    <sheet name="Sheet1" sheetId="1" r:id="rId1"/>
    <sheet name="Sheet2" sheetId="4" r:id="rId2"/>
    <sheet name="Sheet3" sheetId="3" r:id="rId3"/>
  </sheets>
  <definedNames>
    <definedName name="_xlnm._FilterDatabase" localSheetId="0" hidden="1">Sheet1!$A$1:$I$50</definedName>
    <definedName name="_xlchart.v1.0" hidden="1">Sheet2!$Q$2:$Q$50</definedName>
    <definedName name="_xlchart.v1.1" hidden="1">Sheet2!$T$1</definedName>
    <definedName name="_xlchart.v1.2" hidden="1">Sheet2!$T$2:$T$50</definedName>
    <definedName name="_xlchart.v1.3" hidden="1">Sheet2!$L$2:$L$50</definedName>
    <definedName name="_xlchart.v1.4" hidden="1">Sheet2!$N$1</definedName>
    <definedName name="_xlchart.v1.5" hidden="1">Sheet2!$N$2:$N$50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4" l="1"/>
  <c r="S1" i="4" l="1"/>
  <c r="T1" i="4"/>
  <c r="S2" i="4"/>
  <c r="T2" i="4"/>
  <c r="S3" i="4"/>
  <c r="T3" i="4"/>
  <c r="S4" i="4"/>
  <c r="T4" i="4"/>
  <c r="S5" i="4"/>
  <c r="T5" i="4"/>
  <c r="S6" i="4"/>
  <c r="T6" i="4"/>
  <c r="S7" i="4"/>
  <c r="T7" i="4"/>
  <c r="S8" i="4"/>
  <c r="T8" i="4"/>
  <c r="S9" i="4"/>
  <c r="T9" i="4"/>
  <c r="S10" i="4"/>
  <c r="T10" i="4"/>
  <c r="S11" i="4"/>
  <c r="T11" i="4"/>
  <c r="S12" i="4"/>
  <c r="T12" i="4"/>
  <c r="S13" i="4"/>
  <c r="T13" i="4"/>
  <c r="S14" i="4"/>
  <c r="T14" i="4"/>
  <c r="S15" i="4"/>
  <c r="T15" i="4"/>
  <c r="S16" i="4"/>
  <c r="T16" i="4"/>
  <c r="S17" i="4"/>
  <c r="T17" i="4"/>
  <c r="S18" i="4"/>
  <c r="T18" i="4"/>
  <c r="S19" i="4"/>
  <c r="T19" i="4"/>
  <c r="S20" i="4"/>
  <c r="T20" i="4"/>
  <c r="S21" i="4"/>
  <c r="T21" i="4"/>
  <c r="S22" i="4"/>
  <c r="T22" i="4"/>
  <c r="S23" i="4"/>
  <c r="T23" i="4"/>
  <c r="S24" i="4"/>
  <c r="T24" i="4"/>
  <c r="S25" i="4"/>
  <c r="T25" i="4"/>
  <c r="S26" i="4"/>
  <c r="T26" i="4"/>
  <c r="S27" i="4"/>
  <c r="T27" i="4"/>
  <c r="S28" i="4"/>
  <c r="T28" i="4"/>
  <c r="S29" i="4"/>
  <c r="T29" i="4"/>
  <c r="S30" i="4"/>
  <c r="T30" i="4"/>
  <c r="S31" i="4"/>
  <c r="T31" i="4"/>
  <c r="S32" i="4"/>
  <c r="T32" i="4"/>
  <c r="S33" i="4"/>
  <c r="T33" i="4"/>
  <c r="S34" i="4"/>
  <c r="T34" i="4"/>
  <c r="S35" i="4"/>
  <c r="T35" i="4"/>
  <c r="S36" i="4"/>
  <c r="T36" i="4"/>
  <c r="S37" i="4"/>
  <c r="T37" i="4"/>
  <c r="S38" i="4"/>
  <c r="T38" i="4"/>
  <c r="S39" i="4"/>
  <c r="T39" i="4"/>
  <c r="S40" i="4"/>
  <c r="T40" i="4"/>
  <c r="S41" i="4"/>
  <c r="T41" i="4"/>
  <c r="S42" i="4"/>
  <c r="T42" i="4"/>
  <c r="S43" i="4"/>
  <c r="T43" i="4"/>
  <c r="S44" i="4"/>
  <c r="T44" i="4"/>
  <c r="S45" i="4"/>
  <c r="T45" i="4"/>
  <c r="S46" i="4"/>
  <c r="T46" i="4"/>
  <c r="S47" i="4"/>
  <c r="T47" i="4"/>
  <c r="S48" i="4"/>
  <c r="T48" i="4"/>
  <c r="S49" i="4"/>
  <c r="T49" i="4"/>
  <c r="S50" i="4"/>
  <c r="T50" i="4"/>
  <c r="Q2" i="4"/>
  <c r="R2" i="4"/>
  <c r="Q3" i="4"/>
  <c r="R3" i="4"/>
  <c r="Q4" i="4"/>
  <c r="R4" i="4"/>
  <c r="Q5" i="4"/>
  <c r="R5" i="4"/>
  <c r="Q6" i="4"/>
  <c r="R6" i="4"/>
  <c r="Q7" i="4"/>
  <c r="R7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Q30" i="4"/>
  <c r="R30" i="4"/>
  <c r="Q31" i="4"/>
  <c r="R31" i="4"/>
  <c r="Q32" i="4"/>
  <c r="R32" i="4"/>
  <c r="Q33" i="4"/>
  <c r="R33" i="4"/>
  <c r="Q34" i="4"/>
  <c r="R34" i="4"/>
  <c r="Q35" i="4"/>
  <c r="R35" i="4"/>
  <c r="Q36" i="4"/>
  <c r="R36" i="4"/>
  <c r="Q37" i="4"/>
  <c r="R37" i="4"/>
  <c r="Q38" i="4"/>
  <c r="R38" i="4"/>
  <c r="Q39" i="4"/>
  <c r="R39" i="4"/>
  <c r="Q40" i="4"/>
  <c r="R40" i="4"/>
  <c r="Q41" i="4"/>
  <c r="R41" i="4"/>
  <c r="Q42" i="4"/>
  <c r="R42" i="4"/>
  <c r="Q43" i="4"/>
  <c r="R43" i="4"/>
  <c r="Q44" i="4"/>
  <c r="R44" i="4"/>
  <c r="Q45" i="4"/>
  <c r="R45" i="4"/>
  <c r="Q46" i="4"/>
  <c r="R46" i="4"/>
  <c r="Q47" i="4"/>
  <c r="R47" i="4"/>
  <c r="Q48" i="4"/>
  <c r="R48" i="4"/>
  <c r="Q49" i="4"/>
  <c r="R49" i="4"/>
  <c r="Q50" i="4"/>
  <c r="R50" i="4"/>
  <c r="R1" i="4"/>
  <c r="Q1" i="4"/>
  <c r="N1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1" i="4"/>
  <c r="L1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2" i="4"/>
</calcChain>
</file>

<file path=xl/sharedStrings.xml><?xml version="1.0" encoding="utf-8"?>
<sst xmlns="http://schemas.openxmlformats.org/spreadsheetml/2006/main" count="345" uniqueCount="22">
  <si>
    <t>9024KO</t>
  </si>
  <si>
    <t>db11</t>
  </si>
  <si>
    <t>16h</t>
  </si>
  <si>
    <t>3h</t>
  </si>
  <si>
    <t>sucrose</t>
  </si>
  <si>
    <t>w1118</t>
  </si>
  <si>
    <t>Row Labels</t>
  </si>
  <si>
    <t>Grand Total</t>
  </si>
  <si>
    <t>Average of cell mean (um)</t>
  </si>
  <si>
    <t>Average of cell median (um)</t>
  </si>
  <si>
    <t>Average of gut thickness max (um)</t>
  </si>
  <si>
    <t>Average of gut thickness median (um)</t>
  </si>
  <si>
    <t>Average of gut thickness mean (um)</t>
  </si>
  <si>
    <t>Line</t>
  </si>
  <si>
    <t>treat</t>
  </si>
  <si>
    <t>td</t>
  </si>
  <si>
    <t>gut</t>
  </si>
  <si>
    <t>cell mean (um)</t>
  </si>
  <si>
    <t>cell median (um)</t>
  </si>
  <si>
    <t>gut thickness max (um)</t>
  </si>
  <si>
    <t>gut thickness mean (um)</t>
  </si>
  <si>
    <t>gut thickness median (um)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</si>
</sst>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Average of cell mean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Sheet1!$M$2:$M$14</c:f>
              <c:numCache>
                <c:formatCode>General</c:formatCode>
                <c:ptCount val="6"/>
                <c:pt idx="0">
                  <c:v>29.314500000000002</c:v>
                </c:pt>
                <c:pt idx="1">
                  <c:v>27.988866666666667</c:v>
                </c:pt>
                <c:pt idx="2">
                  <c:v>30.543566666666663</c:v>
                </c:pt>
                <c:pt idx="3">
                  <c:v>26.867518181818181</c:v>
                </c:pt>
                <c:pt idx="4">
                  <c:v>22.628637499999996</c:v>
                </c:pt>
                <c:pt idx="5">
                  <c:v>30.214218181818183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6-4D33-AC1F-D77230554E5D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Average of cell median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Sheet1!$N$2:$N$14</c:f>
              <c:numCache>
                <c:formatCode>General</c:formatCode>
                <c:ptCount val="6"/>
                <c:pt idx="0">
                  <c:v>29.857500000000002</c:v>
                </c:pt>
                <c:pt idx="1">
                  <c:v>28.618116666666669</c:v>
                </c:pt>
                <c:pt idx="2">
                  <c:v>31.404088888888889</c:v>
                </c:pt>
                <c:pt idx="3">
                  <c:v>26.983336363636365</c:v>
                </c:pt>
                <c:pt idx="4">
                  <c:v>22.214524999999998</c:v>
                </c:pt>
                <c:pt idx="5">
                  <c:v>31.033500000000004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6-4D33-AC1F-D7723055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4866927"/>
        <c:axId val="1954867343"/>
      </c:barChart>
      <c:catAx>
        <c:axId val="19548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7343"/>
        <c:crosses val="autoZero"/>
        <c:auto val="1"/>
        <c:lblAlgn val="ctr"/>
        <c:lblOffset val="100"/>
        <c:noMultiLvlLbl val="0"/>
      </c:catAx>
      <c:valAx>
        <c:axId val="195486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Output.xlsm]Sheet3!PivotTable1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Average of gut thickness max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Sheet3!$B$2:$B$14</c:f>
              <c:numCache>
                <c:formatCode>General</c:formatCode>
                <c:ptCount val="6"/>
                <c:pt idx="0">
                  <c:v>213.57102500000002</c:v>
                </c:pt>
                <c:pt idx="1">
                  <c:v>210.96698333333333</c:v>
                </c:pt>
                <c:pt idx="2">
                  <c:v>185.53436666666664</c:v>
                </c:pt>
                <c:pt idx="3">
                  <c:v>224.52880909090908</c:v>
                </c:pt>
                <c:pt idx="4">
                  <c:v>275.75987499999997</c:v>
                </c:pt>
                <c:pt idx="5">
                  <c:v>166.52828181818182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C-4725-B9A4-3E7B94C2EBE2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Average of gut thickness mean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Sheet3!$C$2:$C$14</c:f>
              <c:numCache>
                <c:formatCode>General</c:formatCode>
                <c:ptCount val="6"/>
                <c:pt idx="0">
                  <c:v>186.57302500000003</c:v>
                </c:pt>
                <c:pt idx="1">
                  <c:v>185.17485000000002</c:v>
                </c:pt>
                <c:pt idx="2">
                  <c:v>149.8676111111111</c:v>
                </c:pt>
                <c:pt idx="3">
                  <c:v>195.41041818181819</c:v>
                </c:pt>
                <c:pt idx="4">
                  <c:v>205.57366249999998</c:v>
                </c:pt>
                <c:pt idx="5">
                  <c:v>135.17727272727271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1C-4725-B9A4-3E7B94C2EBE2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Average of gut thickness median (um)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Sheet3!$D$2:$D$14</c:f>
              <c:numCache>
                <c:formatCode>General</c:formatCode>
                <c:ptCount val="6"/>
                <c:pt idx="0">
                  <c:v>188.5908</c:v>
                </c:pt>
                <c:pt idx="1">
                  <c:v>183.43323333333333</c:v>
                </c:pt>
                <c:pt idx="2">
                  <c:v>151.17561111111112</c:v>
                </c:pt>
                <c:pt idx="3">
                  <c:v>193.53156363636361</c:v>
                </c:pt>
                <c:pt idx="4">
                  <c:v>205.602125</c:v>
                </c:pt>
                <c:pt idx="5">
                  <c:v>136.82619090909091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1C-4725-B9A4-3E7B94C2E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5563616"/>
        <c:axId val="180321536"/>
      </c:barChart>
      <c:catAx>
        <c:axId val="73556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21536"/>
        <c:crosses val="autoZero"/>
        <c:auto val="1"/>
        <c:lblAlgn val="ctr"/>
        <c:lblOffset val="100"/>
        <c:noMultiLvlLbl val="0"/>
      </c:catAx>
      <c:valAx>
        <c:axId val="18032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6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/>
    <cx:plotArea>
      <cx:plotAreaRegion>
        <cx:series layoutId="boxWhisker" uniqueId="{0BD23E63-173F-4073-9E67-F59F5DAECAF0}" formatIdx="1">
          <cx:tx>
            <cx:txData>
              <cx:f>_xlchart.v1.4</cx:f>
              <cx:v>cell median (um)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/>
    <cx:plotArea>
      <cx:plotAreaRegion>
        <cx:series layoutId="boxWhisker" uniqueId="{706DB525-C9DC-4168-843B-0CA840ABDDF3}" formatIdx="2">
          <cx:tx>
            <cx:txData>
              <cx:f>_xlchart.v1.1</cx:f>
              <cx:v>gut thickness median (um)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16</xdr:row>
      <xdr:rowOff>110490</xdr:rowOff>
    </xdr:from>
    <xdr:to>
      <xdr:col>20</xdr:col>
      <xdr:colOff>449580</xdr:colOff>
      <xdr:row>31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059F3-2864-49E1-8AFF-827241B99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131196</xdr:colOff>
      <xdr:row>0</xdr:row>
      <xdr:rowOff>291714</xdr:rowOff>
    </xdr:from>
    <xdr:to>
      <xdr:col>21</xdr:col>
      <xdr:colOff>245496</xdr:colOff>
      <xdr:row>13</xdr:row>
      <xdr:rowOff>111484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7DD4B85-F103-49D5-949D-46B7F965D4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7996" y="291714"/>
              <a:ext cx="8039100" cy="274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358139</xdr:colOff>
      <xdr:row>15</xdr:row>
      <xdr:rowOff>102870</xdr:rowOff>
    </xdr:from>
    <xdr:to>
      <xdr:col>17</xdr:col>
      <xdr:colOff>364290</xdr:colOff>
      <xdr:row>30</xdr:row>
      <xdr:rowOff>102870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F7FBCCB3-B9B5-4EFF-8F98-1B67BBEFD5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39" y="3394710"/>
              <a:ext cx="7930951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10</xdr:row>
      <xdr:rowOff>87630</xdr:rowOff>
    </xdr:from>
    <xdr:to>
      <xdr:col>5</xdr:col>
      <xdr:colOff>365760</xdr:colOff>
      <xdr:row>25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633D31-5C5F-4B4C-8789-2191ED829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Alexandre Simão" refreshedDate="44201.39885578704" createdVersion="6" refreshedVersion="6" minRefreshableVersion="3" recordCount="49" xr:uid="{5B2CDAE0-D28F-4698-9A25-92926973E3D9}">
  <cacheSource type="worksheet">
    <worksheetSource ref="A1:I50" sheet="Sheet1"/>
  </cacheSource>
  <cacheFields count="9">
    <cacheField name="Line" numFmtId="0">
      <sharedItems count="2">
        <s v="9024KO"/>
        <s v="w1118"/>
      </sharedItems>
    </cacheField>
    <cacheField name="treat" numFmtId="0">
      <sharedItems count="2">
        <s v="db11"/>
        <s v="sucrose"/>
      </sharedItems>
    </cacheField>
    <cacheField name="td" numFmtId="0">
      <sharedItems count="2">
        <s v="16h"/>
        <s v="3h"/>
      </sharedItems>
    </cacheField>
    <cacheField name="gut" numFmtId="0">
      <sharedItems containsSemiMixedTypes="0" containsString="0" containsNumber="1" containsInteger="1" minValue="1" maxValue="11"/>
    </cacheField>
    <cacheField name="cell mean (um)" numFmtId="0">
      <sharedItems containsSemiMixedTypes="0" containsString="0" containsNumber="1" minValue="17.697900000000001" maxValue="36.137900000000002"/>
    </cacheField>
    <cacheField name="cell median (um)" numFmtId="0">
      <sharedItems containsSemiMixedTypes="0" containsString="0" containsNumber="1" minValue="15.127700000000001" maxValue="36.9255"/>
    </cacheField>
    <cacheField name="gut thickness max (um)" numFmtId="0">
      <sharedItems containsSemiMixedTypes="0" containsString="0" containsNumber="1" minValue="125.6403" maxValue="384.5292"/>
    </cacheField>
    <cacheField name="gut thickness mean (um)" numFmtId="0">
      <sharedItems containsSemiMixedTypes="0" containsString="0" containsNumber="1" minValue="91.368099999999998" maxValue="270.7962"/>
    </cacheField>
    <cacheField name="gut thickness median (um)" numFmtId="0">
      <sharedItems containsSemiMixedTypes="0" containsString="0" containsNumber="1" minValue="106.1767" maxValue="264.4705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1"/>
    <n v="22.610099999999999"/>
    <n v="22.504000000000001"/>
    <n v="269.32389999999998"/>
    <n v="246.1481"/>
    <n v="245.48609999999999"/>
  </r>
  <r>
    <x v="0"/>
    <x v="0"/>
    <x v="0"/>
    <n v="3"/>
    <n v="29.858799999999999"/>
    <n v="31.242000000000001"/>
    <n v="210.45650000000001"/>
    <n v="193.167"/>
    <n v="193.1866"/>
  </r>
  <r>
    <x v="0"/>
    <x v="0"/>
    <x v="0"/>
    <n v="4"/>
    <n v="28.925699999999999"/>
    <n v="29.908300000000001"/>
    <n v="221.65899999999999"/>
    <n v="205.29750000000001"/>
    <n v="208.57239999999999"/>
  </r>
  <r>
    <x v="0"/>
    <x v="0"/>
    <x v="0"/>
    <n v="5"/>
    <n v="31.863199999999999"/>
    <n v="32.740099999999998"/>
    <n v="212.8296"/>
    <n v="167.07820000000001"/>
    <n v="160.7278"/>
  </r>
  <r>
    <x v="0"/>
    <x v="0"/>
    <x v="0"/>
    <n v="7"/>
    <n v="23.6693"/>
    <n v="24.923500000000001"/>
    <n v="125.6403"/>
    <n v="107.9406"/>
    <n v="106.1767"/>
  </r>
  <r>
    <x v="0"/>
    <x v="0"/>
    <x v="0"/>
    <n v="8"/>
    <n v="31.0061"/>
    <n v="30.390799999999999"/>
    <n v="225.89259999999999"/>
    <n v="191.4177"/>
    <n v="186.44980000000001"/>
  </r>
  <r>
    <x v="0"/>
    <x v="0"/>
    <x v="1"/>
    <n v="4"/>
    <n v="28.874099999999999"/>
    <n v="30.015599999999999"/>
    <n v="211.59020000000001"/>
    <n v="185.5119"/>
    <n v="186.77670000000001"/>
  </r>
  <r>
    <x v="0"/>
    <x v="0"/>
    <x v="1"/>
    <n v="5"/>
    <n v="32.078299999999999"/>
    <n v="31.978899999999999"/>
    <n v="243.357"/>
    <n v="202.7353"/>
    <n v="209.3973"/>
  </r>
  <r>
    <x v="0"/>
    <x v="0"/>
    <x v="1"/>
    <n v="7"/>
    <n v="29.2103"/>
    <n v="29.905799999999999"/>
    <n v="190.28280000000001"/>
    <n v="171.3313"/>
    <n v="168.9333"/>
  </r>
  <r>
    <x v="0"/>
    <x v="0"/>
    <x v="1"/>
    <n v="8"/>
    <n v="27.095300000000002"/>
    <n v="27.529699999999998"/>
    <n v="209.05410000000001"/>
    <n v="186.71360000000001"/>
    <n v="189.2559"/>
  </r>
  <r>
    <x v="0"/>
    <x v="1"/>
    <x v="0"/>
    <n v="1"/>
    <n v="36.137900000000002"/>
    <n v="36.9255"/>
    <n v="181.4"/>
    <n v="159.2003"/>
    <n v="158.08590000000001"/>
  </r>
  <r>
    <x v="0"/>
    <x v="1"/>
    <x v="0"/>
    <n v="2"/>
    <n v="29.198399999999999"/>
    <n v="30.404900000000001"/>
    <n v="197.32740000000001"/>
    <n v="170.71860000000001"/>
    <n v="176.58320000000001"/>
  </r>
  <r>
    <x v="0"/>
    <x v="1"/>
    <x v="0"/>
    <n v="3"/>
    <n v="28.810199999999998"/>
    <n v="28.984200000000001"/>
    <n v="160.6026"/>
    <n v="143.7801"/>
    <n v="142.37809999999999"/>
  </r>
  <r>
    <x v="0"/>
    <x v="1"/>
    <x v="0"/>
    <n v="4"/>
    <n v="31.4176"/>
    <n v="33.232999999999997"/>
    <n v="162.96899999999999"/>
    <n v="119.023"/>
    <n v="120.90989999999999"/>
  </r>
  <r>
    <x v="0"/>
    <x v="1"/>
    <x v="0"/>
    <n v="5"/>
    <n v="32.952399999999997"/>
    <n v="33.4373"/>
    <n v="201.166"/>
    <n v="176.82759999999999"/>
    <n v="179.2988"/>
  </r>
  <r>
    <x v="0"/>
    <x v="1"/>
    <x v="0"/>
    <n v="6"/>
    <n v="29.169899999999998"/>
    <n v="30.2883"/>
    <n v="199.98410000000001"/>
    <n v="140.58879999999999"/>
    <n v="140.4555"/>
  </r>
  <r>
    <x v="0"/>
    <x v="1"/>
    <x v="0"/>
    <n v="7"/>
    <n v="31.451699999999999"/>
    <n v="31.863499999999998"/>
    <n v="178.2535"/>
    <n v="148.2739"/>
    <n v="148.60720000000001"/>
  </r>
  <r>
    <x v="0"/>
    <x v="1"/>
    <x v="0"/>
    <n v="8"/>
    <n v="26.414400000000001"/>
    <n v="26.220500000000001"/>
    <n v="194.7567"/>
    <n v="152.4024"/>
    <n v="163.7079"/>
  </r>
  <r>
    <x v="0"/>
    <x v="1"/>
    <x v="0"/>
    <n v="9"/>
    <n v="29.339600000000001"/>
    <n v="31.279599999999999"/>
    <n v="193.35"/>
    <n v="137.99379999999999"/>
    <n v="130.554"/>
  </r>
  <r>
    <x v="1"/>
    <x v="0"/>
    <x v="0"/>
    <n v="1"/>
    <n v="18.6433"/>
    <n v="17.256799999999998"/>
    <n v="269.14400000000001"/>
    <n v="120.68259999999999"/>
    <n v="124.6413"/>
  </r>
  <r>
    <x v="1"/>
    <x v="0"/>
    <x v="0"/>
    <n v="2"/>
    <n v="19.2028"/>
    <n v="19.535699999999999"/>
    <n v="252.6199"/>
    <n v="237.06630000000001"/>
    <n v="237.4366"/>
  </r>
  <r>
    <x v="1"/>
    <x v="0"/>
    <x v="0"/>
    <n v="3"/>
    <n v="17.698899999999998"/>
    <n v="16.932600000000001"/>
    <n v="271.67320000000001"/>
    <n v="187.01070000000001"/>
    <n v="190.4101"/>
  </r>
  <r>
    <x v="1"/>
    <x v="0"/>
    <x v="0"/>
    <n v="4"/>
    <n v="17.697900000000001"/>
    <n v="15.127700000000001"/>
    <n v="270.71929999999998"/>
    <n v="136.32380000000001"/>
    <n v="131.91540000000001"/>
  </r>
  <r>
    <x v="1"/>
    <x v="0"/>
    <x v="0"/>
    <n v="5"/>
    <n v="26.488299999999999"/>
    <n v="27.349699999999999"/>
    <n v="255.25190000000001"/>
    <n v="234.4177"/>
    <n v="238.07159999999999"/>
  </r>
  <r>
    <x v="1"/>
    <x v="0"/>
    <x v="0"/>
    <n v="7"/>
    <n v="26.3123"/>
    <n v="25.849399999999999"/>
    <n v="384.5292"/>
    <n v="270.7962"/>
    <n v="264.47059999999999"/>
  </r>
  <r>
    <x v="1"/>
    <x v="0"/>
    <x v="0"/>
    <n v="8"/>
    <n v="23.873000000000001"/>
    <n v="23.845099999999999"/>
    <n v="235.33019999999999"/>
    <n v="211.73859999999999"/>
    <n v="212.0762"/>
  </r>
  <r>
    <x v="1"/>
    <x v="0"/>
    <x v="0"/>
    <n v="9"/>
    <n v="31.1126"/>
    <n v="31.819199999999999"/>
    <n v="266.81130000000002"/>
    <n v="246.55340000000001"/>
    <n v="245.79519999999999"/>
  </r>
  <r>
    <x v="1"/>
    <x v="0"/>
    <x v="1"/>
    <n v="1"/>
    <n v="24.5076"/>
    <n v="24.941199999999998"/>
    <n v="251.43379999999999"/>
    <n v="239.14850000000001"/>
    <n v="237.79519999999999"/>
  </r>
  <r>
    <x v="1"/>
    <x v="0"/>
    <x v="1"/>
    <n v="10"/>
    <n v="24.608699999999999"/>
    <n v="24.0931"/>
    <n v="213.9365"/>
    <n v="186.12710000000001"/>
    <n v="183.489"/>
  </r>
  <r>
    <x v="1"/>
    <x v="0"/>
    <x v="1"/>
    <n v="11"/>
    <n v="24.943100000000001"/>
    <n v="25.428000000000001"/>
    <n v="204.45089999999999"/>
    <n v="161.1018"/>
    <n v="154.48339999999999"/>
  </r>
  <r>
    <x v="1"/>
    <x v="0"/>
    <x v="1"/>
    <n v="2"/>
    <n v="21.849799999999998"/>
    <n v="20.159400000000002"/>
    <n v="237.14490000000001"/>
    <n v="216.5549"/>
    <n v="214.71360000000001"/>
  </r>
  <r>
    <x v="1"/>
    <x v="0"/>
    <x v="1"/>
    <n v="3"/>
    <n v="32.852499999999999"/>
    <n v="34.2196"/>
    <n v="173.73060000000001"/>
    <n v="159.4802"/>
    <n v="159.84119999999999"/>
  </r>
  <r>
    <x v="1"/>
    <x v="0"/>
    <x v="1"/>
    <n v="4"/>
    <n v="23.183399999999999"/>
    <n v="22.002700000000001"/>
    <n v="227.63249999999999"/>
    <n v="206.9452"/>
    <n v="203.25399999999999"/>
  </r>
  <r>
    <x v="1"/>
    <x v="0"/>
    <x v="1"/>
    <n v="5"/>
    <n v="25.071999999999999"/>
    <n v="25.005600000000001"/>
    <n v="206.49520000000001"/>
    <n v="177.01830000000001"/>
    <n v="181.3476"/>
  </r>
  <r>
    <x v="1"/>
    <x v="0"/>
    <x v="1"/>
    <n v="6"/>
    <n v="28.220600000000001"/>
    <n v="27.050699999999999"/>
    <n v="257.23719999999997"/>
    <n v="222.91309999999999"/>
    <n v="217.65710000000001"/>
  </r>
  <r>
    <x v="1"/>
    <x v="0"/>
    <x v="1"/>
    <n v="7"/>
    <n v="31.131799999999998"/>
    <n v="32.987000000000002"/>
    <n v="248.44290000000001"/>
    <n v="204.02789999999999"/>
    <n v="196.24809999999999"/>
  </r>
  <r>
    <x v="1"/>
    <x v="0"/>
    <x v="1"/>
    <n v="8"/>
    <n v="30.229600000000001"/>
    <n v="31.336200000000002"/>
    <n v="227.00450000000001"/>
    <n v="194.92140000000001"/>
    <n v="198.1369"/>
  </r>
  <r>
    <x v="1"/>
    <x v="0"/>
    <x v="1"/>
    <n v="9"/>
    <n v="28.9436"/>
    <n v="29.5932"/>
    <n v="222.30789999999999"/>
    <n v="181.27619999999999"/>
    <n v="181.8811"/>
  </r>
  <r>
    <x v="1"/>
    <x v="1"/>
    <x v="0"/>
    <n v="1"/>
    <n v="27.520900000000001"/>
    <n v="28.2637"/>
    <n v="142.6756"/>
    <n v="129.27699999999999"/>
    <n v="128.9973"/>
  </r>
  <r>
    <x v="1"/>
    <x v="1"/>
    <x v="0"/>
    <n v="10"/>
    <n v="28.3841"/>
    <n v="28.9499"/>
    <n v="175.56110000000001"/>
    <n v="91.368099999999998"/>
    <n v="115.33969999999999"/>
  </r>
  <r>
    <x v="1"/>
    <x v="1"/>
    <x v="0"/>
    <n v="11"/>
    <n v="27.256599999999999"/>
    <n v="28.036000000000001"/>
    <n v="184.83029999999999"/>
    <n v="144.29400000000001"/>
    <n v="138.99260000000001"/>
  </r>
  <r>
    <x v="1"/>
    <x v="1"/>
    <x v="0"/>
    <n v="2"/>
    <n v="30.666599999999999"/>
    <n v="31.8446"/>
    <n v="161.60419999999999"/>
    <n v="139.8151"/>
    <n v="137.7954"/>
  </r>
  <r>
    <x v="1"/>
    <x v="1"/>
    <x v="0"/>
    <n v="3"/>
    <n v="30.666599999999999"/>
    <n v="31.8446"/>
    <n v="161.60419999999999"/>
    <n v="139.8151"/>
    <n v="137.7954"/>
  </r>
  <r>
    <x v="1"/>
    <x v="1"/>
    <x v="0"/>
    <n v="4"/>
    <n v="29.1784"/>
    <n v="30.177299999999999"/>
    <n v="158.14340000000001"/>
    <n v="139.01589999999999"/>
    <n v="134.44900000000001"/>
  </r>
  <r>
    <x v="1"/>
    <x v="1"/>
    <x v="0"/>
    <n v="5"/>
    <n v="31.0442"/>
    <n v="31.268999999999998"/>
    <n v="192.72479999999999"/>
    <n v="159.7927"/>
    <n v="156.5598"/>
  </r>
  <r>
    <x v="1"/>
    <x v="1"/>
    <x v="0"/>
    <n v="6"/>
    <n v="31.716899999999999"/>
    <n v="32.4465"/>
    <n v="188.82220000000001"/>
    <n v="141.92519999999999"/>
    <n v="150.1593"/>
  </r>
  <r>
    <x v="1"/>
    <x v="1"/>
    <x v="0"/>
    <n v="7"/>
    <n v="31.4712"/>
    <n v="32.196199999999997"/>
    <n v="164.15129999999999"/>
    <n v="138.02369999999999"/>
    <n v="139.79949999999999"/>
  </r>
  <r>
    <x v="1"/>
    <x v="1"/>
    <x v="0"/>
    <n v="8"/>
    <n v="32.892200000000003"/>
    <n v="34.349800000000002"/>
    <n v="140.7739"/>
    <n v="124.19759999999999"/>
    <n v="123.17489999999999"/>
  </r>
  <r>
    <x v="1"/>
    <x v="1"/>
    <x v="0"/>
    <n v="9"/>
    <n v="31.558700000000002"/>
    <n v="31.9909"/>
    <n v="160.92009999999999"/>
    <n v="139.4256"/>
    <n v="142.0252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01121D-BD3D-4379-9B98-9716FA315CA8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L1:N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dataField="1" showAll="0"/>
    <pivotField dataField="1" showAll="0"/>
    <pivotField showAll="0"/>
    <pivotField showAll="0"/>
    <pivotField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ell mean (um)" fld="4" subtotal="average" baseField="0" baseItem="0"/>
    <dataField name="Average of cell median (um)" fld="5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7C6F0-93D0-40F0-992A-4B554BC2BF34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D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gut thickness max (um)" fld="6" subtotal="average" baseField="2" baseItem="1"/>
    <dataField name="Average of gut thickness mean (um)" fld="7" subtotal="average" baseField="2" baseItem="1"/>
    <dataField name="Average of gut thickness median (um)" fld="8" subtotal="average" baseField="2" baseItem="1"/>
  </dataFields>
  <chartFormats count="1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65B95-0601-4A02-AA6E-2E26CC6E729C}">
  <sheetPr codeName="Sheet1"/>
  <dimension ref="A1:N50"/>
  <sheetViews>
    <sheetView tabSelected="1" workbookViewId="0">
      <pane ySplit="1" topLeftCell="A8" activePane="bottomLeft" state="frozen"/>
      <selection pane="bottomLeft" activeCell="M9" sqref="M9"/>
    </sheetView>
  </sheetViews>
  <sheetFormatPr defaultRowHeight="14.4" x14ac:dyDescent="0.3"/>
  <cols>
    <col min="1" max="1" width="7.33203125" bestFit="1" customWidth="1"/>
    <col min="2" max="2" width="7.21875" bestFit="1" customWidth="1"/>
    <col min="3" max="3" width="4" bestFit="1" customWidth="1"/>
    <col min="4" max="4" width="5.33203125" customWidth="1"/>
    <col min="5" max="6" width="8.6640625" customWidth="1"/>
    <col min="7" max="9" width="9.6640625" customWidth="1"/>
    <col min="12" max="12" width="12.5546875" bestFit="1" customWidth="1"/>
    <col min="13" max="13" width="23.44140625" bestFit="1" customWidth="1"/>
    <col min="14" max="14" width="25" bestFit="1" customWidth="1"/>
    <col min="15" max="15" width="30.6640625" bestFit="1" customWidth="1"/>
    <col min="16" max="16" width="31.88671875" bestFit="1" customWidth="1"/>
    <col min="17" max="17" width="33.44140625" bestFit="1" customWidth="1"/>
  </cols>
  <sheetData>
    <row r="1" spans="1:14" ht="27.6" customHeight="1" x14ac:dyDescent="0.3">
      <c r="A1" t="s">
        <v>13</v>
      </c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L1" s="1" t="s">
        <v>6</v>
      </c>
      <c r="M1" t="s">
        <v>8</v>
      </c>
      <c r="N1" t="s">
        <v>9</v>
      </c>
    </row>
    <row r="2" spans="1:14" x14ac:dyDescent="0.3">
      <c r="A2" t="s">
        <v>0</v>
      </c>
      <c r="B2" t="s">
        <v>1</v>
      </c>
      <c r="C2" t="s">
        <v>2</v>
      </c>
      <c r="D2">
        <v>1</v>
      </c>
      <c r="E2">
        <v>22.610099999999999</v>
      </c>
      <c r="F2">
        <v>22.504000000000001</v>
      </c>
      <c r="G2">
        <v>269.32389999999998</v>
      </c>
      <c r="H2">
        <v>246.1481</v>
      </c>
      <c r="I2">
        <v>245.48609999999999</v>
      </c>
      <c r="L2" s="2" t="s">
        <v>0</v>
      </c>
      <c r="M2" s="5">
        <v>29.478068421052633</v>
      </c>
      <c r="N2" s="5">
        <v>30.198710526315789</v>
      </c>
    </row>
    <row r="3" spans="1:14" x14ac:dyDescent="0.3">
      <c r="A3" t="s">
        <v>0</v>
      </c>
      <c r="B3" t="s">
        <v>1</v>
      </c>
      <c r="C3" t="s">
        <v>2</v>
      </c>
      <c r="D3">
        <v>3</v>
      </c>
      <c r="E3">
        <v>29.858799999999999</v>
      </c>
      <c r="F3">
        <v>31.242000000000001</v>
      </c>
      <c r="G3">
        <v>210.45650000000001</v>
      </c>
      <c r="H3">
        <v>193.167</v>
      </c>
      <c r="I3">
        <v>193.1866</v>
      </c>
      <c r="L3" s="3" t="s">
        <v>1</v>
      </c>
      <c r="M3" s="5">
        <v>28.519119999999997</v>
      </c>
      <c r="N3" s="5">
        <v>29.113869999999999</v>
      </c>
    </row>
    <row r="4" spans="1:14" x14ac:dyDescent="0.3">
      <c r="A4" t="s">
        <v>0</v>
      </c>
      <c r="B4" t="s">
        <v>1</v>
      </c>
      <c r="C4" t="s">
        <v>2</v>
      </c>
      <c r="D4">
        <v>4</v>
      </c>
      <c r="E4">
        <v>28.925699999999999</v>
      </c>
      <c r="F4">
        <v>29.908300000000001</v>
      </c>
      <c r="G4">
        <v>221.65899999999999</v>
      </c>
      <c r="H4">
        <v>205.29750000000001</v>
      </c>
      <c r="I4">
        <v>208.57239999999999</v>
      </c>
      <c r="L4" s="4" t="s">
        <v>3</v>
      </c>
      <c r="M4" s="5">
        <v>29.314500000000002</v>
      </c>
      <c r="N4" s="5">
        <v>29.857500000000002</v>
      </c>
    </row>
    <row r="5" spans="1:14" x14ac:dyDescent="0.3">
      <c r="A5" t="s">
        <v>0</v>
      </c>
      <c r="B5" t="s">
        <v>1</v>
      </c>
      <c r="C5" t="s">
        <v>2</v>
      </c>
      <c r="D5">
        <v>5</v>
      </c>
      <c r="E5">
        <v>31.863199999999999</v>
      </c>
      <c r="F5">
        <v>32.740099999999998</v>
      </c>
      <c r="G5">
        <v>212.8296</v>
      </c>
      <c r="H5">
        <v>167.07820000000001</v>
      </c>
      <c r="I5">
        <v>160.7278</v>
      </c>
      <c r="L5" s="4" t="s">
        <v>2</v>
      </c>
      <c r="M5" s="5">
        <v>27.988866666666667</v>
      </c>
      <c r="N5" s="5">
        <v>28.618116666666669</v>
      </c>
    </row>
    <row r="6" spans="1:14" x14ac:dyDescent="0.3">
      <c r="A6" t="s">
        <v>0</v>
      </c>
      <c r="B6" t="s">
        <v>1</v>
      </c>
      <c r="C6" t="s">
        <v>2</v>
      </c>
      <c r="D6">
        <v>7</v>
      </c>
      <c r="E6">
        <v>23.6693</v>
      </c>
      <c r="F6">
        <v>24.923500000000001</v>
      </c>
      <c r="G6">
        <v>125.6403</v>
      </c>
      <c r="H6">
        <v>107.9406</v>
      </c>
      <c r="I6">
        <v>106.1767</v>
      </c>
      <c r="L6" s="3" t="s">
        <v>4</v>
      </c>
      <c r="M6" s="5">
        <v>30.543566666666663</v>
      </c>
      <c r="N6" s="5">
        <v>31.404088888888889</v>
      </c>
    </row>
    <row r="7" spans="1:14" x14ac:dyDescent="0.3">
      <c r="A7" t="s">
        <v>0</v>
      </c>
      <c r="B7" t="s">
        <v>1</v>
      </c>
      <c r="C7" t="s">
        <v>2</v>
      </c>
      <c r="D7">
        <v>8</v>
      </c>
      <c r="E7">
        <v>31.0061</v>
      </c>
      <c r="F7">
        <v>30.390799999999999</v>
      </c>
      <c r="G7">
        <v>225.89259999999999</v>
      </c>
      <c r="H7">
        <v>191.4177</v>
      </c>
      <c r="I7">
        <v>186.44980000000001</v>
      </c>
      <c r="L7" s="4" t="s">
        <v>2</v>
      </c>
      <c r="M7" s="5">
        <v>30.543566666666663</v>
      </c>
      <c r="N7" s="5">
        <v>31.404088888888889</v>
      </c>
    </row>
    <row r="8" spans="1:14" x14ac:dyDescent="0.3">
      <c r="A8" t="s">
        <v>0</v>
      </c>
      <c r="B8" t="s">
        <v>1</v>
      </c>
      <c r="C8" t="s">
        <v>3</v>
      </c>
      <c r="D8">
        <v>4</v>
      </c>
      <c r="E8">
        <v>28.874099999999999</v>
      </c>
      <c r="F8">
        <v>30.015599999999999</v>
      </c>
      <c r="G8">
        <v>211.59020000000001</v>
      </c>
      <c r="H8">
        <v>185.5119</v>
      </c>
      <c r="I8">
        <v>186.77670000000001</v>
      </c>
      <c r="L8" s="2" t="s">
        <v>5</v>
      </c>
      <c r="M8" s="5">
        <v>26.964273333333335</v>
      </c>
      <c r="N8" s="5">
        <v>27.196713333333332</v>
      </c>
    </row>
    <row r="9" spans="1:14" x14ac:dyDescent="0.3">
      <c r="A9" t="s">
        <v>0</v>
      </c>
      <c r="B9" t="s">
        <v>1</v>
      </c>
      <c r="C9" t="s">
        <v>3</v>
      </c>
      <c r="D9">
        <v>5</v>
      </c>
      <c r="E9">
        <v>32.078299999999999</v>
      </c>
      <c r="F9">
        <v>31.978899999999999</v>
      </c>
      <c r="G9">
        <v>243.357</v>
      </c>
      <c r="H9">
        <v>202.7353</v>
      </c>
      <c r="I9">
        <v>209.3973</v>
      </c>
      <c r="L9" s="3" t="s">
        <v>1</v>
      </c>
      <c r="M9" s="5">
        <v>25.082726315789472</v>
      </c>
      <c r="N9" s="5">
        <v>24.975415789473686</v>
      </c>
    </row>
    <row r="10" spans="1:14" x14ac:dyDescent="0.3">
      <c r="A10" t="s">
        <v>0</v>
      </c>
      <c r="B10" t="s">
        <v>1</v>
      </c>
      <c r="C10" t="s">
        <v>3</v>
      </c>
      <c r="D10">
        <v>7</v>
      </c>
      <c r="E10">
        <v>29.2103</v>
      </c>
      <c r="F10">
        <v>29.905799999999999</v>
      </c>
      <c r="G10">
        <v>190.28280000000001</v>
      </c>
      <c r="H10">
        <v>171.3313</v>
      </c>
      <c r="I10">
        <v>168.9333</v>
      </c>
      <c r="L10" s="4" t="s">
        <v>3</v>
      </c>
      <c r="M10" s="5">
        <v>26.867518181818181</v>
      </c>
      <c r="N10" s="5">
        <v>26.983336363636365</v>
      </c>
    </row>
    <row r="11" spans="1:14" x14ac:dyDescent="0.3">
      <c r="A11" t="s">
        <v>0</v>
      </c>
      <c r="B11" t="s">
        <v>1</v>
      </c>
      <c r="C11" t="s">
        <v>3</v>
      </c>
      <c r="D11">
        <v>8</v>
      </c>
      <c r="E11">
        <v>27.095300000000002</v>
      </c>
      <c r="F11">
        <v>27.529699999999998</v>
      </c>
      <c r="G11">
        <v>209.05410000000001</v>
      </c>
      <c r="H11">
        <v>186.71360000000001</v>
      </c>
      <c r="I11">
        <v>189.2559</v>
      </c>
      <c r="L11" s="4" t="s">
        <v>2</v>
      </c>
      <c r="M11" s="5">
        <v>22.628637499999996</v>
      </c>
      <c r="N11" s="5">
        <v>22.214524999999998</v>
      </c>
    </row>
    <row r="12" spans="1:14" x14ac:dyDescent="0.3">
      <c r="A12" t="s">
        <v>0</v>
      </c>
      <c r="B12" t="s">
        <v>4</v>
      </c>
      <c r="C12" t="s">
        <v>2</v>
      </c>
      <c r="D12">
        <v>1</v>
      </c>
      <c r="E12">
        <v>36.137900000000002</v>
      </c>
      <c r="F12">
        <v>36.9255</v>
      </c>
      <c r="G12">
        <v>181.4</v>
      </c>
      <c r="H12">
        <v>159.2003</v>
      </c>
      <c r="I12">
        <v>158.08590000000001</v>
      </c>
      <c r="L12" s="3" t="s">
        <v>4</v>
      </c>
      <c r="M12" s="5">
        <v>30.214218181818183</v>
      </c>
      <c r="N12" s="5">
        <v>31.033500000000004</v>
      </c>
    </row>
    <row r="13" spans="1:14" x14ac:dyDescent="0.3">
      <c r="A13" t="s">
        <v>0</v>
      </c>
      <c r="B13" t="s">
        <v>4</v>
      </c>
      <c r="C13" t="s">
        <v>2</v>
      </c>
      <c r="D13">
        <v>2</v>
      </c>
      <c r="E13">
        <v>29.198399999999999</v>
      </c>
      <c r="F13">
        <v>30.404900000000001</v>
      </c>
      <c r="G13">
        <v>197.32740000000001</v>
      </c>
      <c r="H13">
        <v>170.71860000000001</v>
      </c>
      <c r="I13">
        <v>176.58320000000001</v>
      </c>
      <c r="L13" s="4" t="s">
        <v>2</v>
      </c>
      <c r="M13" s="5">
        <v>30.214218181818183</v>
      </c>
      <c r="N13" s="5">
        <v>31.033500000000004</v>
      </c>
    </row>
    <row r="14" spans="1:14" x14ac:dyDescent="0.3">
      <c r="A14" t="s">
        <v>0</v>
      </c>
      <c r="B14" t="s">
        <v>4</v>
      </c>
      <c r="C14" t="s">
        <v>2</v>
      </c>
      <c r="D14">
        <v>3</v>
      </c>
      <c r="E14">
        <v>28.810199999999998</v>
      </c>
      <c r="F14">
        <v>28.984200000000001</v>
      </c>
      <c r="G14">
        <v>160.6026</v>
      </c>
      <c r="H14">
        <v>143.7801</v>
      </c>
      <c r="I14">
        <v>142.37809999999999</v>
      </c>
      <c r="L14" s="2" t="s">
        <v>7</v>
      </c>
      <c r="M14" s="5">
        <v>27.939010204081629</v>
      </c>
      <c r="N14" s="5">
        <v>28.360753061224489</v>
      </c>
    </row>
    <row r="15" spans="1:14" x14ac:dyDescent="0.3">
      <c r="A15" t="s">
        <v>0</v>
      </c>
      <c r="B15" t="s">
        <v>4</v>
      </c>
      <c r="C15" t="s">
        <v>2</v>
      </c>
      <c r="D15">
        <v>4</v>
      </c>
      <c r="E15">
        <v>31.4176</v>
      </c>
      <c r="F15">
        <v>33.232999999999997</v>
      </c>
      <c r="G15">
        <v>162.96899999999999</v>
      </c>
      <c r="H15">
        <v>119.023</v>
      </c>
      <c r="I15">
        <v>120.90989999999999</v>
      </c>
    </row>
    <row r="16" spans="1:14" x14ac:dyDescent="0.3">
      <c r="A16" t="s">
        <v>0</v>
      </c>
      <c r="B16" t="s">
        <v>4</v>
      </c>
      <c r="C16" t="s">
        <v>2</v>
      </c>
      <c r="D16">
        <v>5</v>
      </c>
      <c r="E16">
        <v>32.952399999999997</v>
      </c>
      <c r="F16">
        <v>33.4373</v>
      </c>
      <c r="G16">
        <v>201.166</v>
      </c>
      <c r="H16">
        <v>176.82759999999999</v>
      </c>
      <c r="I16">
        <v>179.2988</v>
      </c>
    </row>
    <row r="17" spans="1:9" x14ac:dyDescent="0.3">
      <c r="A17" t="s">
        <v>0</v>
      </c>
      <c r="B17" t="s">
        <v>4</v>
      </c>
      <c r="C17" t="s">
        <v>2</v>
      </c>
      <c r="D17">
        <v>6</v>
      </c>
      <c r="E17">
        <v>29.169899999999998</v>
      </c>
      <c r="F17">
        <v>30.2883</v>
      </c>
      <c r="G17">
        <v>199.98410000000001</v>
      </c>
      <c r="H17">
        <v>140.58879999999999</v>
      </c>
      <c r="I17">
        <v>140.4555</v>
      </c>
    </row>
    <row r="18" spans="1:9" x14ac:dyDescent="0.3">
      <c r="A18" t="s">
        <v>0</v>
      </c>
      <c r="B18" t="s">
        <v>4</v>
      </c>
      <c r="C18" t="s">
        <v>2</v>
      </c>
      <c r="D18">
        <v>7</v>
      </c>
      <c r="E18">
        <v>31.451699999999999</v>
      </c>
      <c r="F18">
        <v>31.863499999999998</v>
      </c>
      <c r="G18">
        <v>178.2535</v>
      </c>
      <c r="H18">
        <v>148.2739</v>
      </c>
      <c r="I18">
        <v>148.60720000000001</v>
      </c>
    </row>
    <row r="19" spans="1:9" x14ac:dyDescent="0.3">
      <c r="A19" t="s">
        <v>0</v>
      </c>
      <c r="B19" t="s">
        <v>4</v>
      </c>
      <c r="C19" t="s">
        <v>2</v>
      </c>
      <c r="D19">
        <v>8</v>
      </c>
      <c r="E19">
        <v>26.414400000000001</v>
      </c>
      <c r="F19">
        <v>26.220500000000001</v>
      </c>
      <c r="G19">
        <v>194.7567</v>
      </c>
      <c r="H19">
        <v>152.4024</v>
      </c>
      <c r="I19">
        <v>163.7079</v>
      </c>
    </row>
    <row r="20" spans="1:9" x14ac:dyDescent="0.3">
      <c r="A20" t="s">
        <v>0</v>
      </c>
      <c r="B20" t="s">
        <v>4</v>
      </c>
      <c r="C20" t="s">
        <v>2</v>
      </c>
      <c r="D20">
        <v>9</v>
      </c>
      <c r="E20">
        <v>29.339600000000001</v>
      </c>
      <c r="F20">
        <v>31.279599999999999</v>
      </c>
      <c r="G20">
        <v>193.35</v>
      </c>
      <c r="H20">
        <v>137.99379999999999</v>
      </c>
      <c r="I20">
        <v>130.554</v>
      </c>
    </row>
    <row r="21" spans="1:9" x14ac:dyDescent="0.3">
      <c r="A21" t="s">
        <v>5</v>
      </c>
      <c r="B21" t="s">
        <v>1</v>
      </c>
      <c r="C21" t="s">
        <v>2</v>
      </c>
      <c r="D21">
        <v>1</v>
      </c>
      <c r="E21">
        <v>18.6433</v>
      </c>
      <c r="F21">
        <v>17.256799999999998</v>
      </c>
      <c r="G21">
        <v>269.14400000000001</v>
      </c>
      <c r="H21">
        <v>120.68259999999999</v>
      </c>
      <c r="I21">
        <v>124.6413</v>
      </c>
    </row>
    <row r="22" spans="1:9" x14ac:dyDescent="0.3">
      <c r="A22" t="s">
        <v>5</v>
      </c>
      <c r="B22" t="s">
        <v>1</v>
      </c>
      <c r="C22" t="s">
        <v>2</v>
      </c>
      <c r="D22">
        <v>2</v>
      </c>
      <c r="E22">
        <v>19.2028</v>
      </c>
      <c r="F22">
        <v>19.535699999999999</v>
      </c>
      <c r="G22">
        <v>252.6199</v>
      </c>
      <c r="H22">
        <v>237.06630000000001</v>
      </c>
      <c r="I22">
        <v>237.4366</v>
      </c>
    </row>
    <row r="23" spans="1:9" x14ac:dyDescent="0.3">
      <c r="A23" t="s">
        <v>5</v>
      </c>
      <c r="B23" t="s">
        <v>1</v>
      </c>
      <c r="C23" t="s">
        <v>2</v>
      </c>
      <c r="D23">
        <v>3</v>
      </c>
      <c r="E23">
        <v>17.698899999999998</v>
      </c>
      <c r="F23">
        <v>16.932600000000001</v>
      </c>
      <c r="G23">
        <v>271.67320000000001</v>
      </c>
      <c r="H23">
        <v>187.01070000000001</v>
      </c>
      <c r="I23">
        <v>190.4101</v>
      </c>
    </row>
    <row r="24" spans="1:9" x14ac:dyDescent="0.3">
      <c r="A24" t="s">
        <v>5</v>
      </c>
      <c r="B24" t="s">
        <v>1</v>
      </c>
      <c r="C24" t="s">
        <v>2</v>
      </c>
      <c r="D24">
        <v>4</v>
      </c>
      <c r="E24">
        <v>17.697900000000001</v>
      </c>
      <c r="F24">
        <v>15.127700000000001</v>
      </c>
      <c r="G24">
        <v>270.71929999999998</v>
      </c>
      <c r="H24">
        <v>136.32380000000001</v>
      </c>
      <c r="I24">
        <v>131.91540000000001</v>
      </c>
    </row>
    <row r="25" spans="1:9" x14ac:dyDescent="0.3">
      <c r="A25" t="s">
        <v>5</v>
      </c>
      <c r="B25" t="s">
        <v>1</v>
      </c>
      <c r="C25" t="s">
        <v>2</v>
      </c>
      <c r="D25">
        <v>5</v>
      </c>
      <c r="E25">
        <v>26.488299999999999</v>
      </c>
      <c r="F25">
        <v>27.349699999999999</v>
      </c>
      <c r="G25">
        <v>255.25190000000001</v>
      </c>
      <c r="H25">
        <v>234.4177</v>
      </c>
      <c r="I25">
        <v>238.07159999999999</v>
      </c>
    </row>
    <row r="26" spans="1:9" x14ac:dyDescent="0.3">
      <c r="A26" t="s">
        <v>5</v>
      </c>
      <c r="B26" t="s">
        <v>1</v>
      </c>
      <c r="C26" t="s">
        <v>2</v>
      </c>
      <c r="D26">
        <v>7</v>
      </c>
      <c r="E26">
        <v>26.3123</v>
      </c>
      <c r="F26">
        <v>25.849399999999999</v>
      </c>
      <c r="G26">
        <v>384.5292</v>
      </c>
      <c r="H26">
        <v>270.7962</v>
      </c>
      <c r="I26">
        <v>264.47059999999999</v>
      </c>
    </row>
    <row r="27" spans="1:9" x14ac:dyDescent="0.3">
      <c r="A27" t="s">
        <v>5</v>
      </c>
      <c r="B27" t="s">
        <v>1</v>
      </c>
      <c r="C27" t="s">
        <v>2</v>
      </c>
      <c r="D27">
        <v>8</v>
      </c>
      <c r="E27">
        <v>23.873000000000001</v>
      </c>
      <c r="F27">
        <v>23.845099999999999</v>
      </c>
      <c r="G27">
        <v>235.33019999999999</v>
      </c>
      <c r="H27">
        <v>211.73859999999999</v>
      </c>
      <c r="I27">
        <v>212.0762</v>
      </c>
    </row>
    <row r="28" spans="1:9" x14ac:dyDescent="0.3">
      <c r="A28" t="s">
        <v>5</v>
      </c>
      <c r="B28" t="s">
        <v>1</v>
      </c>
      <c r="C28" t="s">
        <v>2</v>
      </c>
      <c r="D28">
        <v>9</v>
      </c>
      <c r="E28">
        <v>31.1126</v>
      </c>
      <c r="F28">
        <v>31.819199999999999</v>
      </c>
      <c r="G28">
        <v>266.81130000000002</v>
      </c>
      <c r="H28">
        <v>246.55340000000001</v>
      </c>
      <c r="I28">
        <v>245.79519999999999</v>
      </c>
    </row>
    <row r="29" spans="1:9" x14ac:dyDescent="0.3">
      <c r="A29" t="s">
        <v>5</v>
      </c>
      <c r="B29" t="s">
        <v>1</v>
      </c>
      <c r="C29" t="s">
        <v>3</v>
      </c>
      <c r="D29">
        <v>1</v>
      </c>
      <c r="E29">
        <v>24.5076</v>
      </c>
      <c r="F29">
        <v>24.941199999999998</v>
      </c>
      <c r="G29">
        <v>251.43379999999999</v>
      </c>
      <c r="H29">
        <v>239.14850000000001</v>
      </c>
      <c r="I29">
        <v>237.79519999999999</v>
      </c>
    </row>
    <row r="30" spans="1:9" x14ac:dyDescent="0.3">
      <c r="A30" t="s">
        <v>5</v>
      </c>
      <c r="B30" t="s">
        <v>1</v>
      </c>
      <c r="C30" t="s">
        <v>3</v>
      </c>
      <c r="D30">
        <v>10</v>
      </c>
      <c r="E30">
        <v>24.608699999999999</v>
      </c>
      <c r="F30">
        <v>24.0931</v>
      </c>
      <c r="G30">
        <v>213.9365</v>
      </c>
      <c r="H30">
        <v>186.12710000000001</v>
      </c>
      <c r="I30">
        <v>183.489</v>
      </c>
    </row>
    <row r="31" spans="1:9" x14ac:dyDescent="0.3">
      <c r="A31" t="s">
        <v>5</v>
      </c>
      <c r="B31" t="s">
        <v>1</v>
      </c>
      <c r="C31" t="s">
        <v>3</v>
      </c>
      <c r="D31">
        <v>11</v>
      </c>
      <c r="E31">
        <v>24.943100000000001</v>
      </c>
      <c r="F31">
        <v>25.428000000000001</v>
      </c>
      <c r="G31">
        <v>204.45089999999999</v>
      </c>
      <c r="H31">
        <v>161.1018</v>
      </c>
      <c r="I31">
        <v>154.48339999999999</v>
      </c>
    </row>
    <row r="32" spans="1:9" x14ac:dyDescent="0.3">
      <c r="A32" t="s">
        <v>5</v>
      </c>
      <c r="B32" t="s">
        <v>1</v>
      </c>
      <c r="C32" t="s">
        <v>3</v>
      </c>
      <c r="D32">
        <v>2</v>
      </c>
      <c r="E32">
        <v>21.849799999999998</v>
      </c>
      <c r="F32">
        <v>20.159400000000002</v>
      </c>
      <c r="G32">
        <v>237.14490000000001</v>
      </c>
      <c r="H32">
        <v>216.5549</v>
      </c>
      <c r="I32">
        <v>214.71360000000001</v>
      </c>
    </row>
    <row r="33" spans="1:9" x14ac:dyDescent="0.3">
      <c r="A33" t="s">
        <v>5</v>
      </c>
      <c r="B33" t="s">
        <v>1</v>
      </c>
      <c r="C33" t="s">
        <v>3</v>
      </c>
      <c r="D33">
        <v>3</v>
      </c>
      <c r="E33">
        <v>32.852499999999999</v>
      </c>
      <c r="F33">
        <v>34.2196</v>
      </c>
      <c r="G33">
        <v>173.73060000000001</v>
      </c>
      <c r="H33">
        <v>159.4802</v>
      </c>
      <c r="I33">
        <v>159.84119999999999</v>
      </c>
    </row>
    <row r="34" spans="1:9" x14ac:dyDescent="0.3">
      <c r="A34" t="s">
        <v>5</v>
      </c>
      <c r="B34" t="s">
        <v>1</v>
      </c>
      <c r="C34" t="s">
        <v>3</v>
      </c>
      <c r="D34">
        <v>4</v>
      </c>
      <c r="E34">
        <v>23.183399999999999</v>
      </c>
      <c r="F34">
        <v>22.002700000000001</v>
      </c>
      <c r="G34">
        <v>227.63249999999999</v>
      </c>
      <c r="H34">
        <v>206.9452</v>
      </c>
      <c r="I34">
        <v>203.25399999999999</v>
      </c>
    </row>
    <row r="35" spans="1:9" x14ac:dyDescent="0.3">
      <c r="A35" t="s">
        <v>5</v>
      </c>
      <c r="B35" t="s">
        <v>1</v>
      </c>
      <c r="C35" t="s">
        <v>3</v>
      </c>
      <c r="D35">
        <v>5</v>
      </c>
      <c r="E35">
        <v>25.071999999999999</v>
      </c>
      <c r="F35">
        <v>25.005600000000001</v>
      </c>
      <c r="G35">
        <v>206.49520000000001</v>
      </c>
      <c r="H35">
        <v>177.01830000000001</v>
      </c>
      <c r="I35">
        <v>181.3476</v>
      </c>
    </row>
    <row r="36" spans="1:9" x14ac:dyDescent="0.3">
      <c r="A36" t="s">
        <v>5</v>
      </c>
      <c r="B36" t="s">
        <v>1</v>
      </c>
      <c r="C36" t="s">
        <v>3</v>
      </c>
      <c r="D36">
        <v>6</v>
      </c>
      <c r="E36">
        <v>28.220600000000001</v>
      </c>
      <c r="F36">
        <v>27.050699999999999</v>
      </c>
      <c r="G36">
        <v>257.23719999999997</v>
      </c>
      <c r="H36">
        <v>222.91309999999999</v>
      </c>
      <c r="I36">
        <v>217.65710000000001</v>
      </c>
    </row>
    <row r="37" spans="1:9" x14ac:dyDescent="0.3">
      <c r="A37" t="s">
        <v>5</v>
      </c>
      <c r="B37" t="s">
        <v>1</v>
      </c>
      <c r="C37" t="s">
        <v>3</v>
      </c>
      <c r="D37">
        <v>7</v>
      </c>
      <c r="E37">
        <v>31.131799999999998</v>
      </c>
      <c r="F37">
        <v>32.987000000000002</v>
      </c>
      <c r="G37">
        <v>248.44290000000001</v>
      </c>
      <c r="H37">
        <v>204.02789999999999</v>
      </c>
      <c r="I37">
        <v>196.24809999999999</v>
      </c>
    </row>
    <row r="38" spans="1:9" x14ac:dyDescent="0.3">
      <c r="A38" t="s">
        <v>5</v>
      </c>
      <c r="B38" t="s">
        <v>1</v>
      </c>
      <c r="C38" t="s">
        <v>3</v>
      </c>
      <c r="D38">
        <v>8</v>
      </c>
      <c r="E38">
        <v>30.229600000000001</v>
      </c>
      <c r="F38">
        <v>31.336200000000002</v>
      </c>
      <c r="G38">
        <v>227.00450000000001</v>
      </c>
      <c r="H38">
        <v>194.92140000000001</v>
      </c>
      <c r="I38">
        <v>198.1369</v>
      </c>
    </row>
    <row r="39" spans="1:9" x14ac:dyDescent="0.3">
      <c r="A39" t="s">
        <v>5</v>
      </c>
      <c r="B39" t="s">
        <v>1</v>
      </c>
      <c r="C39" t="s">
        <v>3</v>
      </c>
      <c r="D39">
        <v>9</v>
      </c>
      <c r="E39">
        <v>28.9436</v>
      </c>
      <c r="F39">
        <v>29.5932</v>
      </c>
      <c r="G39">
        <v>222.30789999999999</v>
      </c>
      <c r="H39">
        <v>181.27619999999999</v>
      </c>
      <c r="I39">
        <v>181.8811</v>
      </c>
    </row>
    <row r="40" spans="1:9" x14ac:dyDescent="0.3">
      <c r="A40" t="s">
        <v>5</v>
      </c>
      <c r="B40" t="s">
        <v>4</v>
      </c>
      <c r="C40" t="s">
        <v>2</v>
      </c>
      <c r="D40">
        <v>1</v>
      </c>
      <c r="E40">
        <v>27.520900000000001</v>
      </c>
      <c r="F40">
        <v>28.2637</v>
      </c>
      <c r="G40">
        <v>142.6756</v>
      </c>
      <c r="H40">
        <v>129.27699999999999</v>
      </c>
      <c r="I40">
        <v>128.9973</v>
      </c>
    </row>
    <row r="41" spans="1:9" x14ac:dyDescent="0.3">
      <c r="A41" t="s">
        <v>5</v>
      </c>
      <c r="B41" t="s">
        <v>4</v>
      </c>
      <c r="C41" t="s">
        <v>2</v>
      </c>
      <c r="D41">
        <v>10</v>
      </c>
      <c r="E41">
        <v>28.3841</v>
      </c>
      <c r="F41">
        <v>28.9499</v>
      </c>
      <c r="G41">
        <v>175.56110000000001</v>
      </c>
      <c r="H41">
        <v>91.368099999999998</v>
      </c>
      <c r="I41">
        <v>115.33969999999999</v>
      </c>
    </row>
    <row r="42" spans="1:9" x14ac:dyDescent="0.3">
      <c r="A42" t="s">
        <v>5</v>
      </c>
      <c r="B42" t="s">
        <v>4</v>
      </c>
      <c r="C42" t="s">
        <v>2</v>
      </c>
      <c r="D42">
        <v>11</v>
      </c>
      <c r="E42">
        <v>27.256599999999999</v>
      </c>
      <c r="F42">
        <v>28.036000000000001</v>
      </c>
      <c r="G42">
        <v>184.83029999999999</v>
      </c>
      <c r="H42">
        <v>144.29400000000001</v>
      </c>
      <c r="I42">
        <v>138.99260000000001</v>
      </c>
    </row>
    <row r="43" spans="1:9" x14ac:dyDescent="0.3">
      <c r="A43" t="s">
        <v>5</v>
      </c>
      <c r="B43" t="s">
        <v>4</v>
      </c>
      <c r="C43" t="s">
        <v>2</v>
      </c>
      <c r="D43">
        <v>2</v>
      </c>
      <c r="E43">
        <v>30.666599999999999</v>
      </c>
      <c r="F43">
        <v>31.8446</v>
      </c>
      <c r="G43">
        <v>161.60419999999999</v>
      </c>
      <c r="H43">
        <v>139.8151</v>
      </c>
      <c r="I43">
        <v>137.7954</v>
      </c>
    </row>
    <row r="44" spans="1:9" x14ac:dyDescent="0.3">
      <c r="A44" t="s">
        <v>5</v>
      </c>
      <c r="B44" t="s">
        <v>4</v>
      </c>
      <c r="C44" t="s">
        <v>2</v>
      </c>
      <c r="D44">
        <v>3</v>
      </c>
      <c r="E44">
        <v>30.666599999999999</v>
      </c>
      <c r="F44">
        <v>31.8446</v>
      </c>
      <c r="G44">
        <v>161.60419999999999</v>
      </c>
      <c r="H44">
        <v>139.8151</v>
      </c>
      <c r="I44">
        <v>137.7954</v>
      </c>
    </row>
    <row r="45" spans="1:9" x14ac:dyDescent="0.3">
      <c r="A45" t="s">
        <v>5</v>
      </c>
      <c r="B45" t="s">
        <v>4</v>
      </c>
      <c r="C45" t="s">
        <v>2</v>
      </c>
      <c r="D45">
        <v>4</v>
      </c>
      <c r="E45">
        <v>29.1784</v>
      </c>
      <c r="F45">
        <v>30.177299999999999</v>
      </c>
      <c r="G45">
        <v>158.14340000000001</v>
      </c>
      <c r="H45">
        <v>139.01589999999999</v>
      </c>
      <c r="I45">
        <v>134.44900000000001</v>
      </c>
    </row>
    <row r="46" spans="1:9" x14ac:dyDescent="0.3">
      <c r="A46" t="s">
        <v>5</v>
      </c>
      <c r="B46" t="s">
        <v>4</v>
      </c>
      <c r="C46" t="s">
        <v>2</v>
      </c>
      <c r="D46">
        <v>5</v>
      </c>
      <c r="E46">
        <v>31.0442</v>
      </c>
      <c r="F46">
        <v>31.268999999999998</v>
      </c>
      <c r="G46">
        <v>192.72479999999999</v>
      </c>
      <c r="H46">
        <v>159.7927</v>
      </c>
      <c r="I46">
        <v>156.5598</v>
      </c>
    </row>
    <row r="47" spans="1:9" x14ac:dyDescent="0.3">
      <c r="A47" t="s">
        <v>5</v>
      </c>
      <c r="B47" t="s">
        <v>4</v>
      </c>
      <c r="C47" t="s">
        <v>2</v>
      </c>
      <c r="D47">
        <v>6</v>
      </c>
      <c r="E47">
        <v>31.716899999999999</v>
      </c>
      <c r="F47">
        <v>32.4465</v>
      </c>
      <c r="G47">
        <v>188.82220000000001</v>
      </c>
      <c r="H47">
        <v>141.92519999999999</v>
      </c>
      <c r="I47">
        <v>150.1593</v>
      </c>
    </row>
    <row r="48" spans="1:9" x14ac:dyDescent="0.3">
      <c r="A48" t="s">
        <v>5</v>
      </c>
      <c r="B48" t="s">
        <v>4</v>
      </c>
      <c r="C48" t="s">
        <v>2</v>
      </c>
      <c r="D48">
        <v>7</v>
      </c>
      <c r="E48">
        <v>31.4712</v>
      </c>
      <c r="F48">
        <v>32.196199999999997</v>
      </c>
      <c r="G48">
        <v>164.15129999999999</v>
      </c>
      <c r="H48">
        <v>138.02369999999999</v>
      </c>
      <c r="I48">
        <v>139.79949999999999</v>
      </c>
    </row>
    <row r="49" spans="1:9" x14ac:dyDescent="0.3">
      <c r="A49" t="s">
        <v>5</v>
      </c>
      <c r="B49" t="s">
        <v>4</v>
      </c>
      <c r="C49" t="s">
        <v>2</v>
      </c>
      <c r="D49">
        <v>8</v>
      </c>
      <c r="E49">
        <v>32.892200000000003</v>
      </c>
      <c r="F49">
        <v>34.349800000000002</v>
      </c>
      <c r="G49">
        <v>140.7739</v>
      </c>
      <c r="H49">
        <v>124.19759999999999</v>
      </c>
      <c r="I49">
        <v>123.17489999999999</v>
      </c>
    </row>
    <row r="50" spans="1:9" x14ac:dyDescent="0.3">
      <c r="A50" t="s">
        <v>5</v>
      </c>
      <c r="B50" t="s">
        <v>4</v>
      </c>
      <c r="C50" t="s">
        <v>2</v>
      </c>
      <c r="D50">
        <v>9</v>
      </c>
      <c r="E50">
        <v>31.558700000000002</v>
      </c>
      <c r="F50">
        <v>31.9909</v>
      </c>
      <c r="G50">
        <v>160.92009999999999</v>
      </c>
      <c r="H50">
        <v>139.4256</v>
      </c>
      <c r="I50">
        <v>142.02520000000001</v>
      </c>
    </row>
  </sheetData>
  <autoFilter ref="A1:I50" xr:uid="{1E21A00A-6CD3-434B-A966-4CAE9C210A98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24B8-7F28-4003-8F6E-0A8AA4FC2AA7}">
  <dimension ref="B1:T50"/>
  <sheetViews>
    <sheetView zoomScale="70" zoomScaleNormal="70" workbookViewId="0">
      <selection activeCell="F2" sqref="F2"/>
    </sheetView>
  </sheetViews>
  <sheetFormatPr defaultRowHeight="14.4" x14ac:dyDescent="0.3"/>
  <sheetData>
    <row r="1" spans="2:20" ht="57.6" x14ac:dyDescent="0.3">
      <c r="B1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6" t="s">
        <v>19</v>
      </c>
      <c r="I1" s="6" t="s">
        <v>20</v>
      </c>
      <c r="J1" s="6" t="s">
        <v>21</v>
      </c>
      <c r="L1" t="str">
        <f t="shared" ref="L1:L32" si="0">B1&amp;"_"&amp;C1&amp;"_"&amp;D1</f>
        <v>Line_treat_td</v>
      </c>
      <c r="M1" t="str">
        <f>F1</f>
        <v>cell mean (um)</v>
      </c>
      <c r="N1" t="str">
        <f>G1</f>
        <v>cell median (um)</v>
      </c>
      <c r="Q1" t="str">
        <f>B1&amp;"_"&amp;C1&amp;"_"&amp;D1</f>
        <v>Line_treat_td</v>
      </c>
      <c r="R1" t="str">
        <f>H1</f>
        <v>gut thickness max (um)</v>
      </c>
      <c r="S1" t="str">
        <f t="shared" ref="S1:T16" si="1">I1</f>
        <v>gut thickness mean (um)</v>
      </c>
      <c r="T1" t="str">
        <f t="shared" si="1"/>
        <v>gut thickness median (um)</v>
      </c>
    </row>
    <row r="2" spans="2:20" x14ac:dyDescent="0.3">
      <c r="B2" t="s">
        <v>13</v>
      </c>
      <c r="C2" t="s">
        <v>1</v>
      </c>
      <c r="D2" t="s">
        <v>2</v>
      </c>
      <c r="E2">
        <v>1</v>
      </c>
      <c r="F2">
        <f>Sheet1!E8</f>
        <v>28.874099999999999</v>
      </c>
      <c r="G2">
        <v>23.062100000000001</v>
      </c>
      <c r="H2">
        <v>270.58670000000001</v>
      </c>
      <c r="I2">
        <v>247.31270000000001</v>
      </c>
      <c r="J2">
        <v>246.61840000000001</v>
      </c>
      <c r="L2" t="str">
        <f t="shared" si="0"/>
        <v>Line_db11_16h</v>
      </c>
      <c r="M2">
        <f t="shared" ref="M2:N50" si="2">F2</f>
        <v>28.874099999999999</v>
      </c>
      <c r="N2">
        <f t="shared" si="2"/>
        <v>23.062100000000001</v>
      </c>
      <c r="Q2" t="str">
        <f t="shared" ref="Q2:Q50" si="3">B2&amp;"_"&amp;C2&amp;"_"&amp;D2</f>
        <v>Line_db11_16h</v>
      </c>
      <c r="R2">
        <f t="shared" ref="R2:R50" si="4">H2</f>
        <v>270.58670000000001</v>
      </c>
      <c r="S2">
        <f t="shared" si="1"/>
        <v>247.31270000000001</v>
      </c>
      <c r="T2">
        <f t="shared" si="1"/>
        <v>246.61840000000001</v>
      </c>
    </row>
    <row r="3" spans="2:20" x14ac:dyDescent="0.3">
      <c r="B3" t="s">
        <v>13</v>
      </c>
      <c r="C3" t="s">
        <v>1</v>
      </c>
      <c r="D3" t="s">
        <v>2</v>
      </c>
      <c r="E3">
        <v>3</v>
      </c>
      <c r="F3">
        <v>28.738499999999998</v>
      </c>
      <c r="G3">
        <v>30.392299999999999</v>
      </c>
      <c r="H3">
        <v>211.768</v>
      </c>
      <c r="I3">
        <v>194.3211</v>
      </c>
      <c r="J3">
        <v>194.3186</v>
      </c>
      <c r="L3" t="str">
        <f t="shared" si="0"/>
        <v>Line_db11_16h</v>
      </c>
      <c r="M3">
        <f t="shared" si="2"/>
        <v>28.738499999999998</v>
      </c>
      <c r="N3">
        <f t="shared" si="2"/>
        <v>30.392299999999999</v>
      </c>
      <c r="Q3" t="str">
        <f t="shared" si="3"/>
        <v>Line_db11_16h</v>
      </c>
      <c r="R3">
        <f t="shared" si="4"/>
        <v>211.768</v>
      </c>
      <c r="S3">
        <f t="shared" si="1"/>
        <v>194.3211</v>
      </c>
      <c r="T3">
        <f t="shared" si="1"/>
        <v>194.3186</v>
      </c>
    </row>
    <row r="4" spans="2:20" x14ac:dyDescent="0.3">
      <c r="B4" t="s">
        <v>13</v>
      </c>
      <c r="C4" t="s">
        <v>1</v>
      </c>
      <c r="D4" t="s">
        <v>2</v>
      </c>
      <c r="E4">
        <v>4</v>
      </c>
      <c r="F4">
        <v>28.446000000000002</v>
      </c>
      <c r="G4">
        <v>28.906300000000002</v>
      </c>
      <c r="H4">
        <v>222.68899999999999</v>
      </c>
      <c r="I4">
        <v>206.45859999999999</v>
      </c>
      <c r="J4">
        <v>209.69049999999999</v>
      </c>
      <c r="L4" t="str">
        <f t="shared" si="0"/>
        <v>Line_db11_16h</v>
      </c>
      <c r="M4">
        <f t="shared" si="2"/>
        <v>28.446000000000002</v>
      </c>
      <c r="N4">
        <f t="shared" si="2"/>
        <v>28.906300000000002</v>
      </c>
      <c r="Q4" t="str">
        <f t="shared" si="3"/>
        <v>Line_db11_16h</v>
      </c>
      <c r="R4">
        <f t="shared" si="4"/>
        <v>222.68899999999999</v>
      </c>
      <c r="S4">
        <f t="shared" si="1"/>
        <v>206.45859999999999</v>
      </c>
      <c r="T4">
        <f t="shared" si="1"/>
        <v>209.69049999999999</v>
      </c>
    </row>
    <row r="5" spans="2:20" x14ac:dyDescent="0.3">
      <c r="B5" t="s">
        <v>13</v>
      </c>
      <c r="C5" t="s">
        <v>1</v>
      </c>
      <c r="D5" t="s">
        <v>2</v>
      </c>
      <c r="E5">
        <v>5</v>
      </c>
      <c r="F5">
        <v>31.6097</v>
      </c>
      <c r="G5">
        <v>32.724299999999999</v>
      </c>
      <c r="H5">
        <v>214.1386</v>
      </c>
      <c r="I5">
        <v>168.1823</v>
      </c>
      <c r="J5">
        <v>161.86770000000001</v>
      </c>
      <c r="L5" t="str">
        <f t="shared" si="0"/>
        <v>Line_db11_16h</v>
      </c>
      <c r="M5">
        <f t="shared" si="2"/>
        <v>31.6097</v>
      </c>
      <c r="N5">
        <f t="shared" si="2"/>
        <v>32.724299999999999</v>
      </c>
      <c r="Q5" t="str">
        <f t="shared" si="3"/>
        <v>Line_db11_16h</v>
      </c>
      <c r="R5">
        <f t="shared" si="4"/>
        <v>214.1386</v>
      </c>
      <c r="S5">
        <f t="shared" si="1"/>
        <v>168.1823</v>
      </c>
      <c r="T5">
        <f t="shared" si="1"/>
        <v>161.86770000000001</v>
      </c>
    </row>
    <row r="6" spans="2:20" x14ac:dyDescent="0.3">
      <c r="B6" t="s">
        <v>13</v>
      </c>
      <c r="C6" t="s">
        <v>1</v>
      </c>
      <c r="D6" t="s">
        <v>2</v>
      </c>
      <c r="E6">
        <v>7</v>
      </c>
      <c r="F6">
        <v>24.784300000000002</v>
      </c>
      <c r="G6">
        <v>25.8857</v>
      </c>
      <c r="H6">
        <v>126.92829999999999</v>
      </c>
      <c r="I6">
        <v>109.1039</v>
      </c>
      <c r="J6">
        <v>107.26309999999999</v>
      </c>
      <c r="L6" t="str">
        <f t="shared" si="0"/>
        <v>Line_db11_16h</v>
      </c>
      <c r="M6">
        <f t="shared" si="2"/>
        <v>24.784300000000002</v>
      </c>
      <c r="N6">
        <f t="shared" si="2"/>
        <v>25.8857</v>
      </c>
      <c r="Q6" t="str">
        <f t="shared" si="3"/>
        <v>Line_db11_16h</v>
      </c>
      <c r="R6">
        <f t="shared" si="4"/>
        <v>126.92829999999999</v>
      </c>
      <c r="S6">
        <f t="shared" si="1"/>
        <v>109.1039</v>
      </c>
      <c r="T6">
        <f t="shared" si="1"/>
        <v>107.26309999999999</v>
      </c>
    </row>
    <row r="7" spans="2:20" x14ac:dyDescent="0.3">
      <c r="B7" t="s">
        <v>13</v>
      </c>
      <c r="C7" t="s">
        <v>1</v>
      </c>
      <c r="D7" t="s">
        <v>2</v>
      </c>
      <c r="E7">
        <v>8</v>
      </c>
      <c r="F7">
        <v>32.158200000000001</v>
      </c>
      <c r="G7">
        <v>31.995799999999999</v>
      </c>
      <c r="H7">
        <v>227.1721</v>
      </c>
      <c r="I7">
        <v>192.55840000000001</v>
      </c>
      <c r="J7">
        <v>187.75620000000001</v>
      </c>
      <c r="L7" t="str">
        <f t="shared" si="0"/>
        <v>Line_db11_16h</v>
      </c>
      <c r="M7">
        <f t="shared" si="2"/>
        <v>32.158200000000001</v>
      </c>
      <c r="N7">
        <f t="shared" si="2"/>
        <v>31.995799999999999</v>
      </c>
      <c r="Q7" t="str">
        <f t="shared" si="3"/>
        <v>Line_db11_16h</v>
      </c>
      <c r="R7">
        <f t="shared" si="4"/>
        <v>227.1721</v>
      </c>
      <c r="S7">
        <f t="shared" si="1"/>
        <v>192.55840000000001</v>
      </c>
      <c r="T7">
        <f t="shared" si="1"/>
        <v>187.75620000000001</v>
      </c>
    </row>
    <row r="8" spans="2:20" x14ac:dyDescent="0.3">
      <c r="B8" t="s">
        <v>13</v>
      </c>
      <c r="C8" t="s">
        <v>1</v>
      </c>
      <c r="D8" t="s">
        <v>3</v>
      </c>
      <c r="E8">
        <v>4</v>
      </c>
      <c r="F8">
        <v>30.112100000000002</v>
      </c>
      <c r="G8">
        <v>30.670999999999999</v>
      </c>
      <c r="H8">
        <v>212.80109999999999</v>
      </c>
      <c r="I8">
        <v>186.7433</v>
      </c>
      <c r="J8">
        <v>187.9427</v>
      </c>
      <c r="L8" t="str">
        <f t="shared" si="0"/>
        <v>Line_db11_3h</v>
      </c>
      <c r="M8">
        <f t="shared" si="2"/>
        <v>30.112100000000002</v>
      </c>
      <c r="N8">
        <f t="shared" si="2"/>
        <v>30.670999999999999</v>
      </c>
      <c r="Q8" t="str">
        <f t="shared" si="3"/>
        <v>Line_db11_3h</v>
      </c>
      <c r="R8">
        <f t="shared" si="4"/>
        <v>212.80109999999999</v>
      </c>
      <c r="S8">
        <f t="shared" si="1"/>
        <v>186.7433</v>
      </c>
      <c r="T8">
        <f t="shared" si="1"/>
        <v>187.9427</v>
      </c>
    </row>
    <row r="9" spans="2:20" x14ac:dyDescent="0.3">
      <c r="B9" t="s">
        <v>13</v>
      </c>
      <c r="C9" t="s">
        <v>1</v>
      </c>
      <c r="D9" t="s">
        <v>3</v>
      </c>
      <c r="E9">
        <v>5</v>
      </c>
      <c r="F9">
        <v>32.225200000000001</v>
      </c>
      <c r="G9">
        <v>32.163699999999999</v>
      </c>
      <c r="H9">
        <v>244.6088</v>
      </c>
      <c r="I9">
        <v>203.99029999999999</v>
      </c>
      <c r="J9">
        <v>210.6353</v>
      </c>
      <c r="L9" t="str">
        <f t="shared" si="0"/>
        <v>Line_db11_3h</v>
      </c>
      <c r="M9">
        <f t="shared" si="2"/>
        <v>32.225200000000001</v>
      </c>
      <c r="N9">
        <f t="shared" si="2"/>
        <v>32.163699999999999</v>
      </c>
      <c r="Q9" t="str">
        <f t="shared" si="3"/>
        <v>Line_db11_3h</v>
      </c>
      <c r="R9">
        <f t="shared" si="4"/>
        <v>244.6088</v>
      </c>
      <c r="S9">
        <f t="shared" si="1"/>
        <v>203.99029999999999</v>
      </c>
      <c r="T9">
        <f t="shared" si="1"/>
        <v>210.6353</v>
      </c>
    </row>
    <row r="10" spans="2:20" x14ac:dyDescent="0.3">
      <c r="B10" t="s">
        <v>13</v>
      </c>
      <c r="C10" t="s">
        <v>1</v>
      </c>
      <c r="D10" t="s">
        <v>3</v>
      </c>
      <c r="E10">
        <v>7</v>
      </c>
      <c r="F10">
        <v>29.316500000000001</v>
      </c>
      <c r="G10">
        <v>30.088799999999999</v>
      </c>
      <c r="H10">
        <v>191.39580000000001</v>
      </c>
      <c r="I10">
        <v>172.5171</v>
      </c>
      <c r="J10">
        <v>170.14789999999999</v>
      </c>
      <c r="L10" t="str">
        <f t="shared" si="0"/>
        <v>Line_db11_3h</v>
      </c>
      <c r="M10">
        <f t="shared" si="2"/>
        <v>29.316500000000001</v>
      </c>
      <c r="N10">
        <f t="shared" si="2"/>
        <v>30.088799999999999</v>
      </c>
      <c r="Q10" t="str">
        <f t="shared" si="3"/>
        <v>Line_db11_3h</v>
      </c>
      <c r="R10">
        <f t="shared" si="4"/>
        <v>191.39580000000001</v>
      </c>
      <c r="S10">
        <f t="shared" si="1"/>
        <v>172.5171</v>
      </c>
      <c r="T10">
        <f t="shared" si="1"/>
        <v>170.14789999999999</v>
      </c>
    </row>
    <row r="11" spans="2:20" x14ac:dyDescent="0.3">
      <c r="B11" t="s">
        <v>13</v>
      </c>
      <c r="C11" t="s">
        <v>1</v>
      </c>
      <c r="D11" t="s">
        <v>3</v>
      </c>
      <c r="E11">
        <v>8</v>
      </c>
      <c r="F11">
        <v>27.593299999999999</v>
      </c>
      <c r="G11">
        <v>28.059699999999999</v>
      </c>
      <c r="H11">
        <v>210.09440000000001</v>
      </c>
      <c r="I11">
        <v>187.84710000000001</v>
      </c>
      <c r="J11">
        <v>190.5146</v>
      </c>
      <c r="L11" t="str">
        <f t="shared" si="0"/>
        <v>Line_db11_3h</v>
      </c>
      <c r="M11">
        <f t="shared" si="2"/>
        <v>27.593299999999999</v>
      </c>
      <c r="N11">
        <f t="shared" si="2"/>
        <v>28.059699999999999</v>
      </c>
      <c r="Q11" t="str">
        <f t="shared" si="3"/>
        <v>Line_db11_3h</v>
      </c>
      <c r="R11">
        <f t="shared" si="4"/>
        <v>210.09440000000001</v>
      </c>
      <c r="S11">
        <f t="shared" si="1"/>
        <v>187.84710000000001</v>
      </c>
      <c r="T11">
        <f t="shared" si="1"/>
        <v>190.5146</v>
      </c>
    </row>
    <row r="12" spans="2:20" x14ac:dyDescent="0.3">
      <c r="B12" t="s">
        <v>13</v>
      </c>
      <c r="C12" t="s">
        <v>4</v>
      </c>
      <c r="D12" t="s">
        <v>2</v>
      </c>
      <c r="E12">
        <v>1</v>
      </c>
      <c r="F12">
        <v>36.200699999999998</v>
      </c>
      <c r="G12">
        <v>37.2759</v>
      </c>
      <c r="H12">
        <v>182.71170000000001</v>
      </c>
      <c r="I12">
        <v>160.3177</v>
      </c>
      <c r="J12">
        <v>159.05709999999999</v>
      </c>
      <c r="L12" t="str">
        <f t="shared" si="0"/>
        <v>Line_sucrose_16h</v>
      </c>
      <c r="M12">
        <f t="shared" si="2"/>
        <v>36.200699999999998</v>
      </c>
      <c r="N12">
        <f t="shared" si="2"/>
        <v>37.2759</v>
      </c>
      <c r="Q12" t="str">
        <f t="shared" si="3"/>
        <v>Line_sucrose_16h</v>
      </c>
      <c r="R12">
        <f t="shared" si="4"/>
        <v>182.71170000000001</v>
      </c>
      <c r="S12">
        <f t="shared" si="1"/>
        <v>160.3177</v>
      </c>
      <c r="T12">
        <f t="shared" si="1"/>
        <v>159.05709999999999</v>
      </c>
    </row>
    <row r="13" spans="2:20" x14ac:dyDescent="0.3">
      <c r="B13" t="s">
        <v>13</v>
      </c>
      <c r="C13" t="s">
        <v>4</v>
      </c>
      <c r="D13" t="s">
        <v>2</v>
      </c>
      <c r="E13">
        <v>2</v>
      </c>
      <c r="F13">
        <v>29.297000000000001</v>
      </c>
      <c r="G13">
        <v>30.781300000000002</v>
      </c>
      <c r="H13">
        <v>198.6036</v>
      </c>
      <c r="I13">
        <v>171.90549999999999</v>
      </c>
      <c r="J13">
        <v>177.68219999999999</v>
      </c>
      <c r="L13" t="str">
        <f t="shared" si="0"/>
        <v>Line_sucrose_16h</v>
      </c>
      <c r="M13">
        <f t="shared" si="2"/>
        <v>29.297000000000001</v>
      </c>
      <c r="N13">
        <f t="shared" si="2"/>
        <v>30.781300000000002</v>
      </c>
      <c r="Q13" t="str">
        <f t="shared" si="3"/>
        <v>Line_sucrose_16h</v>
      </c>
      <c r="R13">
        <f t="shared" si="4"/>
        <v>198.6036</v>
      </c>
      <c r="S13">
        <f t="shared" si="1"/>
        <v>171.90549999999999</v>
      </c>
      <c r="T13">
        <f t="shared" si="1"/>
        <v>177.68219999999999</v>
      </c>
    </row>
    <row r="14" spans="2:20" x14ac:dyDescent="0.3">
      <c r="B14" t="s">
        <v>13</v>
      </c>
      <c r="C14" t="s">
        <v>4</v>
      </c>
      <c r="D14" t="s">
        <v>2</v>
      </c>
      <c r="E14">
        <v>3</v>
      </c>
      <c r="F14">
        <v>29.4374</v>
      </c>
      <c r="G14">
        <v>29.484999999999999</v>
      </c>
      <c r="H14">
        <v>161.77809999999999</v>
      </c>
      <c r="I14">
        <v>144.95820000000001</v>
      </c>
      <c r="J14">
        <v>143.57320000000001</v>
      </c>
      <c r="L14" t="str">
        <f t="shared" si="0"/>
        <v>Line_sucrose_16h</v>
      </c>
      <c r="M14">
        <f t="shared" si="2"/>
        <v>29.4374</v>
      </c>
      <c r="N14">
        <f t="shared" si="2"/>
        <v>29.484999999999999</v>
      </c>
      <c r="Q14" t="str">
        <f t="shared" si="3"/>
        <v>Line_sucrose_16h</v>
      </c>
      <c r="R14">
        <f t="shared" si="4"/>
        <v>161.77809999999999</v>
      </c>
      <c r="S14">
        <f t="shared" si="1"/>
        <v>144.95820000000001</v>
      </c>
      <c r="T14">
        <f t="shared" si="1"/>
        <v>143.57320000000001</v>
      </c>
    </row>
    <row r="15" spans="2:20" x14ac:dyDescent="0.3">
      <c r="B15" t="s">
        <v>13</v>
      </c>
      <c r="C15" t="s">
        <v>4</v>
      </c>
      <c r="D15" t="s">
        <v>2</v>
      </c>
      <c r="E15">
        <v>4</v>
      </c>
      <c r="F15">
        <v>31.839099999999998</v>
      </c>
      <c r="G15">
        <v>32.467500000000001</v>
      </c>
      <c r="H15">
        <v>164.08009999999999</v>
      </c>
      <c r="I15">
        <v>120.12309999999999</v>
      </c>
      <c r="J15">
        <v>121.85080000000001</v>
      </c>
      <c r="L15" t="str">
        <f t="shared" si="0"/>
        <v>Line_sucrose_16h</v>
      </c>
      <c r="M15">
        <f t="shared" si="2"/>
        <v>31.839099999999998</v>
      </c>
      <c r="N15">
        <f t="shared" si="2"/>
        <v>32.467500000000001</v>
      </c>
      <c r="Q15" t="str">
        <f t="shared" si="3"/>
        <v>Line_sucrose_16h</v>
      </c>
      <c r="R15">
        <f t="shared" si="4"/>
        <v>164.08009999999999</v>
      </c>
      <c r="S15">
        <f t="shared" si="1"/>
        <v>120.12309999999999</v>
      </c>
      <c r="T15">
        <f t="shared" si="1"/>
        <v>121.85080000000001</v>
      </c>
    </row>
    <row r="16" spans="2:20" x14ac:dyDescent="0.3">
      <c r="B16" t="s">
        <v>13</v>
      </c>
      <c r="C16" t="s">
        <v>4</v>
      </c>
      <c r="D16" t="s">
        <v>2</v>
      </c>
      <c r="E16">
        <v>5</v>
      </c>
      <c r="F16">
        <v>32.527200000000001</v>
      </c>
      <c r="G16">
        <v>33.339399999999998</v>
      </c>
      <c r="H16">
        <v>202.39240000000001</v>
      </c>
      <c r="I16">
        <v>177.99369999999999</v>
      </c>
      <c r="J16">
        <v>180.4796</v>
      </c>
      <c r="L16" t="str">
        <f t="shared" si="0"/>
        <v>Line_sucrose_16h</v>
      </c>
      <c r="M16">
        <f t="shared" si="2"/>
        <v>32.527200000000001</v>
      </c>
      <c r="N16">
        <f t="shared" si="2"/>
        <v>33.339399999999998</v>
      </c>
      <c r="Q16" t="str">
        <f t="shared" si="3"/>
        <v>Line_sucrose_16h</v>
      </c>
      <c r="R16">
        <f t="shared" si="4"/>
        <v>202.39240000000001</v>
      </c>
      <c r="S16">
        <f t="shared" si="1"/>
        <v>177.99369999999999</v>
      </c>
      <c r="T16">
        <f t="shared" si="1"/>
        <v>180.4796</v>
      </c>
    </row>
    <row r="17" spans="2:20" x14ac:dyDescent="0.3">
      <c r="B17" t="s">
        <v>13</v>
      </c>
      <c r="C17" t="s">
        <v>4</v>
      </c>
      <c r="D17" t="s">
        <v>2</v>
      </c>
      <c r="E17">
        <v>6</v>
      </c>
      <c r="F17">
        <v>30.046600000000002</v>
      </c>
      <c r="G17">
        <v>30.968499999999999</v>
      </c>
      <c r="H17">
        <v>200.91640000000001</v>
      </c>
      <c r="I17">
        <v>141.65360000000001</v>
      </c>
      <c r="J17">
        <v>141.44069999999999</v>
      </c>
      <c r="L17" t="str">
        <f t="shared" si="0"/>
        <v>Line_sucrose_16h</v>
      </c>
      <c r="M17">
        <f t="shared" si="2"/>
        <v>30.046600000000002</v>
      </c>
      <c r="N17">
        <f t="shared" si="2"/>
        <v>30.968499999999999</v>
      </c>
      <c r="Q17" t="str">
        <f t="shared" si="3"/>
        <v>Line_sucrose_16h</v>
      </c>
      <c r="R17">
        <f t="shared" si="4"/>
        <v>200.91640000000001</v>
      </c>
      <c r="S17">
        <f t="shared" ref="S17:S50" si="5">I17</f>
        <v>141.65360000000001</v>
      </c>
      <c r="T17">
        <f t="shared" ref="T17:T50" si="6">J17</f>
        <v>141.44069999999999</v>
      </c>
    </row>
    <row r="18" spans="2:20" x14ac:dyDescent="0.3">
      <c r="B18" t="s">
        <v>13</v>
      </c>
      <c r="C18" t="s">
        <v>4</v>
      </c>
      <c r="D18" t="s">
        <v>2</v>
      </c>
      <c r="E18">
        <v>7</v>
      </c>
      <c r="F18">
        <v>32.528100000000002</v>
      </c>
      <c r="G18">
        <v>33.400599999999997</v>
      </c>
      <c r="H18">
        <v>179.46279999999999</v>
      </c>
      <c r="I18">
        <v>149.47319999999999</v>
      </c>
      <c r="J18">
        <v>149.87110000000001</v>
      </c>
      <c r="L18" t="str">
        <f t="shared" si="0"/>
        <v>Line_sucrose_16h</v>
      </c>
      <c r="M18">
        <f t="shared" si="2"/>
        <v>32.528100000000002</v>
      </c>
      <c r="N18">
        <f t="shared" si="2"/>
        <v>33.400599999999997</v>
      </c>
      <c r="Q18" t="str">
        <f t="shared" si="3"/>
        <v>Line_sucrose_16h</v>
      </c>
      <c r="R18">
        <f t="shared" si="4"/>
        <v>179.46279999999999</v>
      </c>
      <c r="S18">
        <f t="shared" si="5"/>
        <v>149.47319999999999</v>
      </c>
      <c r="T18">
        <f t="shared" si="6"/>
        <v>149.87110000000001</v>
      </c>
    </row>
    <row r="19" spans="2:20" x14ac:dyDescent="0.3">
      <c r="B19" t="s">
        <v>13</v>
      </c>
      <c r="C19" t="s">
        <v>4</v>
      </c>
      <c r="D19" t="s">
        <v>2</v>
      </c>
      <c r="E19">
        <v>8</v>
      </c>
      <c r="F19">
        <v>26.629300000000001</v>
      </c>
      <c r="G19">
        <v>27.160799999999998</v>
      </c>
      <c r="H19">
        <v>195.82</v>
      </c>
      <c r="I19">
        <v>153.32</v>
      </c>
      <c r="J19">
        <v>164.63810000000001</v>
      </c>
      <c r="L19" t="str">
        <f t="shared" si="0"/>
        <v>Line_sucrose_16h</v>
      </c>
      <c r="M19">
        <f t="shared" si="2"/>
        <v>26.629300000000001</v>
      </c>
      <c r="N19">
        <f t="shared" si="2"/>
        <v>27.160799999999998</v>
      </c>
      <c r="Q19" t="str">
        <f t="shared" si="3"/>
        <v>Line_sucrose_16h</v>
      </c>
      <c r="R19">
        <f t="shared" si="4"/>
        <v>195.82</v>
      </c>
      <c r="S19">
        <f t="shared" si="5"/>
        <v>153.32</v>
      </c>
      <c r="T19">
        <f t="shared" si="6"/>
        <v>164.63810000000001</v>
      </c>
    </row>
    <row r="20" spans="2:20" x14ac:dyDescent="0.3">
      <c r="B20" t="s">
        <v>13</v>
      </c>
      <c r="C20" t="s">
        <v>4</v>
      </c>
      <c r="D20" t="s">
        <v>2</v>
      </c>
      <c r="E20">
        <v>9</v>
      </c>
      <c r="F20">
        <v>29.5305</v>
      </c>
      <c r="G20">
        <v>31.228999999999999</v>
      </c>
      <c r="H20">
        <v>194.46549999999999</v>
      </c>
      <c r="I20">
        <v>139.0325</v>
      </c>
      <c r="J20">
        <v>131.62649999999999</v>
      </c>
      <c r="L20" t="str">
        <f t="shared" si="0"/>
        <v>Line_sucrose_16h</v>
      </c>
      <c r="M20">
        <f t="shared" si="2"/>
        <v>29.5305</v>
      </c>
      <c r="N20">
        <f t="shared" si="2"/>
        <v>31.228999999999999</v>
      </c>
      <c r="Q20" t="str">
        <f t="shared" si="3"/>
        <v>Line_sucrose_16h</v>
      </c>
      <c r="R20">
        <f t="shared" si="4"/>
        <v>194.46549999999999</v>
      </c>
      <c r="S20">
        <f t="shared" si="5"/>
        <v>139.0325</v>
      </c>
      <c r="T20">
        <f t="shared" si="6"/>
        <v>131.62649999999999</v>
      </c>
    </row>
    <row r="21" spans="2:20" x14ac:dyDescent="0.3">
      <c r="B21" t="s">
        <v>13</v>
      </c>
      <c r="C21" t="s">
        <v>1</v>
      </c>
      <c r="D21" t="s">
        <v>2</v>
      </c>
      <c r="E21">
        <v>1</v>
      </c>
      <c r="F21">
        <v>19.910599999999999</v>
      </c>
      <c r="G21">
        <v>17.709199999999999</v>
      </c>
      <c r="H21">
        <v>270.31799999999998</v>
      </c>
      <c r="I21">
        <v>121.9462</v>
      </c>
      <c r="J21">
        <v>125.5714</v>
      </c>
      <c r="L21" t="str">
        <f t="shared" si="0"/>
        <v>Line_db11_16h</v>
      </c>
      <c r="M21">
        <f t="shared" si="2"/>
        <v>19.910599999999999</v>
      </c>
      <c r="N21">
        <f t="shared" si="2"/>
        <v>17.709199999999999</v>
      </c>
      <c r="Q21" t="str">
        <f t="shared" si="3"/>
        <v>Line_db11_16h</v>
      </c>
      <c r="R21">
        <f t="shared" si="4"/>
        <v>270.31799999999998</v>
      </c>
      <c r="S21">
        <f t="shared" si="5"/>
        <v>121.9462</v>
      </c>
      <c r="T21">
        <f t="shared" si="6"/>
        <v>125.5714</v>
      </c>
    </row>
    <row r="22" spans="2:20" x14ac:dyDescent="0.3">
      <c r="B22" t="s">
        <v>13</v>
      </c>
      <c r="C22" t="s">
        <v>1</v>
      </c>
      <c r="D22" t="s">
        <v>2</v>
      </c>
      <c r="E22">
        <v>2</v>
      </c>
      <c r="F22">
        <v>19.5261</v>
      </c>
      <c r="G22">
        <v>19.774699999999999</v>
      </c>
      <c r="H22">
        <v>253.68960000000001</v>
      </c>
      <c r="I22">
        <v>238.21680000000001</v>
      </c>
      <c r="J22">
        <v>238.49279999999999</v>
      </c>
      <c r="L22" t="str">
        <f t="shared" si="0"/>
        <v>Line_db11_16h</v>
      </c>
      <c r="M22">
        <f t="shared" si="2"/>
        <v>19.5261</v>
      </c>
      <c r="N22">
        <f t="shared" si="2"/>
        <v>19.774699999999999</v>
      </c>
      <c r="Q22" t="str">
        <f t="shared" si="3"/>
        <v>Line_db11_16h</v>
      </c>
      <c r="R22">
        <f t="shared" si="4"/>
        <v>253.68960000000001</v>
      </c>
      <c r="S22">
        <f t="shared" si="5"/>
        <v>238.21680000000001</v>
      </c>
      <c r="T22">
        <f t="shared" si="6"/>
        <v>238.49279999999999</v>
      </c>
    </row>
    <row r="23" spans="2:20" x14ac:dyDescent="0.3">
      <c r="B23" t="s">
        <v>13</v>
      </c>
      <c r="C23" t="s">
        <v>1</v>
      </c>
      <c r="D23" t="s">
        <v>2</v>
      </c>
      <c r="E23">
        <v>3</v>
      </c>
      <c r="F23">
        <v>21.4025</v>
      </c>
      <c r="G23">
        <v>19.0535</v>
      </c>
      <c r="H23">
        <v>272.90929999999997</v>
      </c>
      <c r="I23">
        <v>188.21520000000001</v>
      </c>
      <c r="J23">
        <v>191.54490000000001</v>
      </c>
      <c r="L23" t="str">
        <f t="shared" si="0"/>
        <v>Line_db11_16h</v>
      </c>
      <c r="M23">
        <f t="shared" si="2"/>
        <v>21.4025</v>
      </c>
      <c r="N23">
        <f t="shared" si="2"/>
        <v>19.0535</v>
      </c>
      <c r="Q23" t="str">
        <f t="shared" si="3"/>
        <v>Line_db11_16h</v>
      </c>
      <c r="R23">
        <f t="shared" si="4"/>
        <v>272.90929999999997</v>
      </c>
      <c r="S23">
        <f t="shared" si="5"/>
        <v>188.21520000000001</v>
      </c>
      <c r="T23">
        <f t="shared" si="6"/>
        <v>191.54490000000001</v>
      </c>
    </row>
    <row r="24" spans="2:20" x14ac:dyDescent="0.3">
      <c r="B24" t="s">
        <v>13</v>
      </c>
      <c r="C24" t="s">
        <v>1</v>
      </c>
      <c r="D24" t="s">
        <v>2</v>
      </c>
      <c r="E24">
        <v>4</v>
      </c>
      <c r="F24">
        <v>16.831099999999999</v>
      </c>
      <c r="G24">
        <v>15.6564</v>
      </c>
      <c r="H24">
        <v>271.85149999999999</v>
      </c>
      <c r="I24">
        <v>137.4699</v>
      </c>
      <c r="J24">
        <v>133.08420000000001</v>
      </c>
      <c r="L24" t="str">
        <f t="shared" si="0"/>
        <v>Line_db11_16h</v>
      </c>
      <c r="M24">
        <f t="shared" si="2"/>
        <v>16.831099999999999</v>
      </c>
      <c r="N24">
        <f t="shared" si="2"/>
        <v>15.6564</v>
      </c>
      <c r="Q24" t="str">
        <f t="shared" si="3"/>
        <v>Line_db11_16h</v>
      </c>
      <c r="R24">
        <f t="shared" si="4"/>
        <v>271.85149999999999</v>
      </c>
      <c r="S24">
        <f t="shared" si="5"/>
        <v>137.4699</v>
      </c>
      <c r="T24">
        <f t="shared" si="6"/>
        <v>133.08420000000001</v>
      </c>
    </row>
    <row r="25" spans="2:20" x14ac:dyDescent="0.3">
      <c r="B25" t="s">
        <v>13</v>
      </c>
      <c r="C25" t="s">
        <v>1</v>
      </c>
      <c r="D25" t="s">
        <v>2</v>
      </c>
      <c r="E25">
        <v>5</v>
      </c>
      <c r="F25">
        <v>27.166499999999999</v>
      </c>
      <c r="G25">
        <v>27.7516</v>
      </c>
      <c r="H25">
        <v>256.36130000000003</v>
      </c>
      <c r="I25">
        <v>235.54040000000001</v>
      </c>
      <c r="J25">
        <v>239.15209999999999</v>
      </c>
      <c r="L25" t="str">
        <f t="shared" si="0"/>
        <v>Line_db11_16h</v>
      </c>
      <c r="M25">
        <f t="shared" si="2"/>
        <v>27.166499999999999</v>
      </c>
      <c r="N25">
        <f t="shared" si="2"/>
        <v>27.7516</v>
      </c>
      <c r="Q25" t="str">
        <f t="shared" si="3"/>
        <v>Line_db11_16h</v>
      </c>
      <c r="R25">
        <f t="shared" si="4"/>
        <v>256.36130000000003</v>
      </c>
      <c r="S25">
        <f t="shared" si="5"/>
        <v>235.54040000000001</v>
      </c>
      <c r="T25">
        <f t="shared" si="6"/>
        <v>239.15209999999999</v>
      </c>
    </row>
    <row r="26" spans="2:20" x14ac:dyDescent="0.3">
      <c r="B26" t="s">
        <v>13</v>
      </c>
      <c r="C26" t="s">
        <v>1</v>
      </c>
      <c r="D26" t="s">
        <v>2</v>
      </c>
      <c r="E26">
        <v>7</v>
      </c>
      <c r="F26">
        <v>26.009499999999999</v>
      </c>
      <c r="G26">
        <v>25.207699999999999</v>
      </c>
      <c r="H26">
        <v>385.76479999999998</v>
      </c>
      <c r="I26">
        <v>271.79759999999999</v>
      </c>
      <c r="J26">
        <v>265.54149999999998</v>
      </c>
      <c r="L26" t="str">
        <f t="shared" si="0"/>
        <v>Line_db11_16h</v>
      </c>
      <c r="M26">
        <f t="shared" si="2"/>
        <v>26.009499999999999</v>
      </c>
      <c r="N26">
        <f t="shared" si="2"/>
        <v>25.207699999999999</v>
      </c>
      <c r="Q26" t="str">
        <f t="shared" si="3"/>
        <v>Line_db11_16h</v>
      </c>
      <c r="R26">
        <f t="shared" si="4"/>
        <v>385.76479999999998</v>
      </c>
      <c r="S26">
        <f t="shared" si="5"/>
        <v>271.79759999999999</v>
      </c>
      <c r="T26">
        <f t="shared" si="6"/>
        <v>265.54149999999998</v>
      </c>
    </row>
    <row r="27" spans="2:20" x14ac:dyDescent="0.3">
      <c r="B27" t="s">
        <v>13</v>
      </c>
      <c r="C27" t="s">
        <v>1</v>
      </c>
      <c r="D27" t="s">
        <v>2</v>
      </c>
      <c r="E27">
        <v>8</v>
      </c>
      <c r="F27">
        <v>24.044499999999999</v>
      </c>
      <c r="G27">
        <v>24.272600000000001</v>
      </c>
      <c r="H27">
        <v>236.2603</v>
      </c>
      <c r="I27">
        <v>212.84440000000001</v>
      </c>
      <c r="J27">
        <v>213.00630000000001</v>
      </c>
      <c r="L27" t="str">
        <f t="shared" si="0"/>
        <v>Line_db11_16h</v>
      </c>
      <c r="M27">
        <f t="shared" si="2"/>
        <v>24.044499999999999</v>
      </c>
      <c r="N27">
        <f t="shared" si="2"/>
        <v>24.272600000000001</v>
      </c>
      <c r="Q27" t="str">
        <f t="shared" si="3"/>
        <v>Line_db11_16h</v>
      </c>
      <c r="R27">
        <f t="shared" si="4"/>
        <v>236.2603</v>
      </c>
      <c r="S27">
        <f t="shared" si="5"/>
        <v>212.84440000000001</v>
      </c>
      <c r="T27">
        <f t="shared" si="6"/>
        <v>213.00630000000001</v>
      </c>
    </row>
    <row r="28" spans="2:20" x14ac:dyDescent="0.3">
      <c r="B28" t="s">
        <v>13</v>
      </c>
      <c r="C28" t="s">
        <v>1</v>
      </c>
      <c r="D28" t="s">
        <v>2</v>
      </c>
      <c r="E28">
        <v>9</v>
      </c>
      <c r="F28">
        <v>31.1937</v>
      </c>
      <c r="G28">
        <v>32.035699999999999</v>
      </c>
      <c r="H28">
        <v>267.81139999999999</v>
      </c>
      <c r="I28">
        <v>247.60820000000001</v>
      </c>
      <c r="J28">
        <v>246.8253</v>
      </c>
      <c r="L28" t="str">
        <f t="shared" si="0"/>
        <v>Line_db11_16h</v>
      </c>
      <c r="M28">
        <f t="shared" si="2"/>
        <v>31.1937</v>
      </c>
      <c r="N28">
        <f t="shared" si="2"/>
        <v>32.035699999999999</v>
      </c>
      <c r="Q28" t="str">
        <f t="shared" si="3"/>
        <v>Line_db11_16h</v>
      </c>
      <c r="R28">
        <f t="shared" si="4"/>
        <v>267.81139999999999</v>
      </c>
      <c r="S28">
        <f t="shared" si="5"/>
        <v>247.60820000000001</v>
      </c>
      <c r="T28">
        <f t="shared" si="6"/>
        <v>246.8253</v>
      </c>
    </row>
    <row r="29" spans="2:20" x14ac:dyDescent="0.3">
      <c r="B29" t="s">
        <v>13</v>
      </c>
      <c r="C29" t="s">
        <v>1</v>
      </c>
      <c r="D29" t="s">
        <v>3</v>
      </c>
      <c r="E29">
        <v>1</v>
      </c>
      <c r="F29">
        <v>25.043900000000001</v>
      </c>
      <c r="G29">
        <v>25.5901</v>
      </c>
      <c r="H29">
        <v>252.6695</v>
      </c>
      <c r="I29">
        <v>240.42330000000001</v>
      </c>
      <c r="J29">
        <v>239.11590000000001</v>
      </c>
      <c r="L29" t="str">
        <f t="shared" si="0"/>
        <v>Line_db11_3h</v>
      </c>
      <c r="M29">
        <f t="shared" si="2"/>
        <v>25.043900000000001</v>
      </c>
      <c r="N29">
        <f t="shared" si="2"/>
        <v>25.5901</v>
      </c>
      <c r="Q29" t="str">
        <f t="shared" si="3"/>
        <v>Line_db11_3h</v>
      </c>
      <c r="R29">
        <f t="shared" si="4"/>
        <v>252.6695</v>
      </c>
      <c r="S29">
        <f t="shared" si="5"/>
        <v>240.42330000000001</v>
      </c>
      <c r="T29">
        <f t="shared" si="6"/>
        <v>239.11590000000001</v>
      </c>
    </row>
    <row r="30" spans="2:20" x14ac:dyDescent="0.3">
      <c r="B30" t="s">
        <v>13</v>
      </c>
      <c r="C30" t="s">
        <v>1</v>
      </c>
      <c r="D30" t="s">
        <v>3</v>
      </c>
      <c r="E30">
        <v>10</v>
      </c>
      <c r="F30">
        <v>24.369</v>
      </c>
      <c r="G30">
        <v>24.229500000000002</v>
      </c>
      <c r="H30">
        <v>214.87469999999999</v>
      </c>
      <c r="I30">
        <v>187.2518</v>
      </c>
      <c r="J30">
        <v>184.77180000000001</v>
      </c>
      <c r="L30" t="str">
        <f t="shared" si="0"/>
        <v>Line_db11_3h</v>
      </c>
      <c r="M30">
        <f t="shared" si="2"/>
        <v>24.369</v>
      </c>
      <c r="N30">
        <f t="shared" si="2"/>
        <v>24.229500000000002</v>
      </c>
      <c r="Q30" t="str">
        <f t="shared" si="3"/>
        <v>Line_db11_3h</v>
      </c>
      <c r="R30">
        <f t="shared" si="4"/>
        <v>214.87469999999999</v>
      </c>
      <c r="S30">
        <f t="shared" si="5"/>
        <v>187.2518</v>
      </c>
      <c r="T30">
        <f t="shared" si="6"/>
        <v>184.77180000000001</v>
      </c>
    </row>
    <row r="31" spans="2:20" x14ac:dyDescent="0.3">
      <c r="B31" t="s">
        <v>13</v>
      </c>
      <c r="C31" t="s">
        <v>1</v>
      </c>
      <c r="D31" t="s">
        <v>3</v>
      </c>
      <c r="E31">
        <v>11</v>
      </c>
      <c r="F31">
        <v>26.119199999999999</v>
      </c>
      <c r="G31">
        <v>26.438500000000001</v>
      </c>
      <c r="H31">
        <v>205.7165</v>
      </c>
      <c r="I31">
        <v>162.20660000000001</v>
      </c>
      <c r="J31">
        <v>155.51599999999999</v>
      </c>
      <c r="L31" t="str">
        <f t="shared" si="0"/>
        <v>Line_db11_3h</v>
      </c>
      <c r="M31">
        <f t="shared" si="2"/>
        <v>26.119199999999999</v>
      </c>
      <c r="N31">
        <f t="shared" si="2"/>
        <v>26.438500000000001</v>
      </c>
      <c r="Q31" t="str">
        <f t="shared" si="3"/>
        <v>Line_db11_3h</v>
      </c>
      <c r="R31">
        <f t="shared" si="4"/>
        <v>205.7165</v>
      </c>
      <c r="S31">
        <f t="shared" si="5"/>
        <v>162.20660000000001</v>
      </c>
      <c r="T31">
        <f t="shared" si="6"/>
        <v>155.51599999999999</v>
      </c>
    </row>
    <row r="32" spans="2:20" x14ac:dyDescent="0.3">
      <c r="B32" t="s">
        <v>13</v>
      </c>
      <c r="C32" t="s">
        <v>1</v>
      </c>
      <c r="D32" t="s">
        <v>3</v>
      </c>
      <c r="E32">
        <v>2</v>
      </c>
      <c r="F32">
        <v>21.8888</v>
      </c>
      <c r="G32">
        <v>20.6218</v>
      </c>
      <c r="H32">
        <v>238.1497</v>
      </c>
      <c r="I32">
        <v>217.7355</v>
      </c>
      <c r="J32">
        <v>215.91309999999999</v>
      </c>
      <c r="L32" t="str">
        <f t="shared" si="0"/>
        <v>Line_db11_3h</v>
      </c>
      <c r="M32">
        <f t="shared" si="2"/>
        <v>21.8888</v>
      </c>
      <c r="N32">
        <f t="shared" si="2"/>
        <v>20.6218</v>
      </c>
      <c r="Q32" t="str">
        <f t="shared" si="3"/>
        <v>Line_db11_3h</v>
      </c>
      <c r="R32">
        <f t="shared" si="4"/>
        <v>238.1497</v>
      </c>
      <c r="S32">
        <f t="shared" si="5"/>
        <v>217.7355</v>
      </c>
      <c r="T32">
        <f t="shared" si="6"/>
        <v>215.91309999999999</v>
      </c>
    </row>
    <row r="33" spans="2:20" x14ac:dyDescent="0.3">
      <c r="B33" t="s">
        <v>13</v>
      </c>
      <c r="C33" t="s">
        <v>1</v>
      </c>
      <c r="D33" t="s">
        <v>3</v>
      </c>
      <c r="E33">
        <v>3</v>
      </c>
      <c r="F33">
        <v>33.912999999999997</v>
      </c>
      <c r="G33">
        <v>34.439300000000003</v>
      </c>
      <c r="H33">
        <v>175.01079999999999</v>
      </c>
      <c r="I33">
        <v>160.7602</v>
      </c>
      <c r="J33">
        <v>161.13509999999999</v>
      </c>
      <c r="L33" t="str">
        <f t="shared" ref="L33:L50" si="7">B33&amp;"_"&amp;C33&amp;"_"&amp;D33</f>
        <v>Line_db11_3h</v>
      </c>
      <c r="M33">
        <f t="shared" si="2"/>
        <v>33.912999999999997</v>
      </c>
      <c r="N33">
        <f t="shared" si="2"/>
        <v>34.439300000000003</v>
      </c>
      <c r="Q33" t="str">
        <f t="shared" si="3"/>
        <v>Line_db11_3h</v>
      </c>
      <c r="R33">
        <f t="shared" si="4"/>
        <v>175.01079999999999</v>
      </c>
      <c r="S33">
        <f t="shared" si="5"/>
        <v>160.7602</v>
      </c>
      <c r="T33">
        <f t="shared" si="6"/>
        <v>161.13509999999999</v>
      </c>
    </row>
    <row r="34" spans="2:20" x14ac:dyDescent="0.3">
      <c r="B34" t="s">
        <v>13</v>
      </c>
      <c r="C34" t="s">
        <v>1</v>
      </c>
      <c r="D34" t="s">
        <v>3</v>
      </c>
      <c r="E34">
        <v>4</v>
      </c>
      <c r="F34">
        <v>23.442299999999999</v>
      </c>
      <c r="G34">
        <v>22.495000000000001</v>
      </c>
      <c r="H34">
        <v>228.94</v>
      </c>
      <c r="I34">
        <v>208.37049999999999</v>
      </c>
      <c r="J34">
        <v>204.6053</v>
      </c>
      <c r="L34" t="str">
        <f t="shared" si="7"/>
        <v>Line_db11_3h</v>
      </c>
      <c r="M34">
        <f t="shared" si="2"/>
        <v>23.442299999999999</v>
      </c>
      <c r="N34">
        <f t="shared" si="2"/>
        <v>22.495000000000001</v>
      </c>
      <c r="Q34" t="str">
        <f t="shared" si="3"/>
        <v>Line_db11_3h</v>
      </c>
      <c r="R34">
        <f t="shared" si="4"/>
        <v>228.94</v>
      </c>
      <c r="S34">
        <f t="shared" si="5"/>
        <v>208.37049999999999</v>
      </c>
      <c r="T34">
        <f t="shared" si="6"/>
        <v>204.6053</v>
      </c>
    </row>
    <row r="35" spans="2:20" x14ac:dyDescent="0.3">
      <c r="B35" t="s">
        <v>13</v>
      </c>
      <c r="C35" t="s">
        <v>1</v>
      </c>
      <c r="D35" t="s">
        <v>3</v>
      </c>
      <c r="E35">
        <v>5</v>
      </c>
      <c r="F35">
        <v>25.2775</v>
      </c>
      <c r="G35">
        <v>25.546099999999999</v>
      </c>
      <c r="H35">
        <v>207.4254</v>
      </c>
      <c r="I35">
        <v>177.99379999999999</v>
      </c>
      <c r="J35">
        <v>182.31110000000001</v>
      </c>
      <c r="L35" t="str">
        <f t="shared" si="7"/>
        <v>Line_db11_3h</v>
      </c>
      <c r="M35">
        <f t="shared" si="2"/>
        <v>25.2775</v>
      </c>
      <c r="N35">
        <f t="shared" si="2"/>
        <v>25.546099999999999</v>
      </c>
      <c r="Q35" t="str">
        <f t="shared" si="3"/>
        <v>Line_db11_3h</v>
      </c>
      <c r="R35">
        <f t="shared" si="4"/>
        <v>207.4254</v>
      </c>
      <c r="S35">
        <f t="shared" si="5"/>
        <v>177.99379999999999</v>
      </c>
      <c r="T35">
        <f t="shared" si="6"/>
        <v>182.31110000000001</v>
      </c>
    </row>
    <row r="36" spans="2:20" x14ac:dyDescent="0.3">
      <c r="B36" t="s">
        <v>13</v>
      </c>
      <c r="C36" t="s">
        <v>1</v>
      </c>
      <c r="D36" t="s">
        <v>3</v>
      </c>
      <c r="E36">
        <v>6</v>
      </c>
      <c r="F36">
        <v>29.070499999999999</v>
      </c>
      <c r="G36">
        <v>28.0185</v>
      </c>
      <c r="H36">
        <v>258.5523</v>
      </c>
      <c r="I36">
        <v>224.04519999999999</v>
      </c>
      <c r="J36">
        <v>218.5873</v>
      </c>
      <c r="L36" t="str">
        <f t="shared" si="7"/>
        <v>Line_db11_3h</v>
      </c>
      <c r="M36">
        <f t="shared" si="2"/>
        <v>29.070499999999999</v>
      </c>
      <c r="N36">
        <f t="shared" si="2"/>
        <v>28.0185</v>
      </c>
      <c r="Q36" t="str">
        <f t="shared" si="3"/>
        <v>Line_db11_3h</v>
      </c>
      <c r="R36">
        <f t="shared" si="4"/>
        <v>258.5523</v>
      </c>
      <c r="S36">
        <f t="shared" si="5"/>
        <v>224.04519999999999</v>
      </c>
      <c r="T36">
        <f t="shared" si="6"/>
        <v>218.5873</v>
      </c>
    </row>
    <row r="37" spans="2:20" x14ac:dyDescent="0.3">
      <c r="B37" t="s">
        <v>13</v>
      </c>
      <c r="C37" t="s">
        <v>1</v>
      </c>
      <c r="D37" t="s">
        <v>3</v>
      </c>
      <c r="E37">
        <v>7</v>
      </c>
      <c r="F37">
        <v>31</v>
      </c>
      <c r="G37">
        <v>31.950800000000001</v>
      </c>
      <c r="H37">
        <v>249.73509999999999</v>
      </c>
      <c r="I37">
        <v>205.43340000000001</v>
      </c>
      <c r="J37">
        <v>197.63409999999999</v>
      </c>
      <c r="L37" t="str">
        <f t="shared" si="7"/>
        <v>Line_db11_3h</v>
      </c>
      <c r="M37">
        <f t="shared" si="2"/>
        <v>31</v>
      </c>
      <c r="N37">
        <f t="shared" si="2"/>
        <v>31.950800000000001</v>
      </c>
      <c r="Q37" t="str">
        <f t="shared" si="3"/>
        <v>Line_db11_3h</v>
      </c>
      <c r="R37">
        <f t="shared" si="4"/>
        <v>249.73509999999999</v>
      </c>
      <c r="S37">
        <f t="shared" si="5"/>
        <v>205.43340000000001</v>
      </c>
      <c r="T37">
        <f t="shared" si="6"/>
        <v>197.63409999999999</v>
      </c>
    </row>
    <row r="38" spans="2:20" x14ac:dyDescent="0.3">
      <c r="B38" t="s">
        <v>13</v>
      </c>
      <c r="C38" t="s">
        <v>1</v>
      </c>
      <c r="D38" t="s">
        <v>3</v>
      </c>
      <c r="E38">
        <v>8</v>
      </c>
      <c r="F38">
        <v>32.058399999999999</v>
      </c>
      <c r="G38">
        <v>32.583100000000002</v>
      </c>
      <c r="H38">
        <v>228.31559999999999</v>
      </c>
      <c r="I38">
        <v>196.12129999999999</v>
      </c>
      <c r="J38">
        <v>198.126</v>
      </c>
      <c r="L38" t="str">
        <f t="shared" si="7"/>
        <v>Line_db11_3h</v>
      </c>
      <c r="M38">
        <f t="shared" si="2"/>
        <v>32.058399999999999</v>
      </c>
      <c r="N38">
        <f t="shared" si="2"/>
        <v>32.583100000000002</v>
      </c>
      <c r="Q38" t="str">
        <f t="shared" si="3"/>
        <v>Line_db11_3h</v>
      </c>
      <c r="R38">
        <f t="shared" si="4"/>
        <v>228.31559999999999</v>
      </c>
      <c r="S38">
        <f t="shared" si="5"/>
        <v>196.12129999999999</v>
      </c>
      <c r="T38">
        <f t="shared" si="6"/>
        <v>198.126</v>
      </c>
    </row>
    <row r="39" spans="2:20" x14ac:dyDescent="0.3">
      <c r="B39" t="s">
        <v>13</v>
      </c>
      <c r="C39" t="s">
        <v>1</v>
      </c>
      <c r="D39" t="s">
        <v>3</v>
      </c>
      <c r="E39">
        <v>9</v>
      </c>
      <c r="F39">
        <v>29.186</v>
      </c>
      <c r="G39">
        <v>30.1372</v>
      </c>
      <c r="H39">
        <v>223.2381</v>
      </c>
      <c r="I39">
        <v>182.3819</v>
      </c>
      <c r="J39">
        <v>183.13380000000001</v>
      </c>
      <c r="L39" t="str">
        <f t="shared" si="7"/>
        <v>Line_db11_3h</v>
      </c>
      <c r="M39">
        <f t="shared" si="2"/>
        <v>29.186</v>
      </c>
      <c r="N39">
        <f t="shared" si="2"/>
        <v>30.1372</v>
      </c>
      <c r="Q39" t="str">
        <f t="shared" si="3"/>
        <v>Line_db11_3h</v>
      </c>
      <c r="R39">
        <f t="shared" si="4"/>
        <v>223.2381</v>
      </c>
      <c r="S39">
        <f t="shared" si="5"/>
        <v>182.3819</v>
      </c>
      <c r="T39">
        <f t="shared" si="6"/>
        <v>183.13380000000001</v>
      </c>
    </row>
    <row r="40" spans="2:20" x14ac:dyDescent="0.3">
      <c r="B40" t="s">
        <v>13</v>
      </c>
      <c r="C40" t="s">
        <v>4</v>
      </c>
      <c r="D40" t="s">
        <v>2</v>
      </c>
      <c r="E40">
        <v>1</v>
      </c>
      <c r="F40">
        <v>28.153400000000001</v>
      </c>
      <c r="G40">
        <v>29.376899999999999</v>
      </c>
      <c r="H40">
        <v>143.88929999999999</v>
      </c>
      <c r="I40">
        <v>130.46549999999999</v>
      </c>
      <c r="J40">
        <v>130.2123</v>
      </c>
      <c r="L40" t="str">
        <f t="shared" si="7"/>
        <v>Line_sucrose_16h</v>
      </c>
      <c r="M40">
        <f t="shared" si="2"/>
        <v>28.153400000000001</v>
      </c>
      <c r="N40">
        <f t="shared" si="2"/>
        <v>29.376899999999999</v>
      </c>
      <c r="Q40" t="str">
        <f t="shared" si="3"/>
        <v>Line_sucrose_16h</v>
      </c>
      <c r="R40">
        <f t="shared" si="4"/>
        <v>143.88929999999999</v>
      </c>
      <c r="S40">
        <f t="shared" si="5"/>
        <v>130.46549999999999</v>
      </c>
      <c r="T40">
        <f t="shared" si="6"/>
        <v>130.2123</v>
      </c>
    </row>
    <row r="41" spans="2:20" x14ac:dyDescent="0.3">
      <c r="B41" t="s">
        <v>13</v>
      </c>
      <c r="C41" t="s">
        <v>4</v>
      </c>
      <c r="D41" t="s">
        <v>2</v>
      </c>
      <c r="E41">
        <v>10</v>
      </c>
      <c r="F41">
        <v>27.8598</v>
      </c>
      <c r="G41">
        <v>28.484999999999999</v>
      </c>
      <c r="H41">
        <v>176.70570000000001</v>
      </c>
      <c r="I41">
        <v>92.526200000000003</v>
      </c>
      <c r="J41">
        <v>116.5523</v>
      </c>
      <c r="L41" t="str">
        <f t="shared" si="7"/>
        <v>Line_sucrose_16h</v>
      </c>
      <c r="M41">
        <f t="shared" si="2"/>
        <v>27.8598</v>
      </c>
      <c r="N41">
        <f t="shared" si="2"/>
        <v>28.484999999999999</v>
      </c>
      <c r="Q41" t="str">
        <f t="shared" si="3"/>
        <v>Line_sucrose_16h</v>
      </c>
      <c r="R41">
        <f t="shared" si="4"/>
        <v>176.70570000000001</v>
      </c>
      <c r="S41">
        <f t="shared" si="5"/>
        <v>92.526200000000003</v>
      </c>
      <c r="T41">
        <f t="shared" si="6"/>
        <v>116.5523</v>
      </c>
    </row>
    <row r="42" spans="2:20" x14ac:dyDescent="0.3">
      <c r="B42" t="s">
        <v>13</v>
      </c>
      <c r="C42" t="s">
        <v>4</v>
      </c>
      <c r="D42" t="s">
        <v>2</v>
      </c>
      <c r="E42">
        <v>11</v>
      </c>
      <c r="F42">
        <v>27.454899999999999</v>
      </c>
      <c r="G42">
        <v>28.194700000000001</v>
      </c>
      <c r="H42">
        <v>185.92240000000001</v>
      </c>
      <c r="I42">
        <v>145.34389999999999</v>
      </c>
      <c r="J42">
        <v>140.04679999999999</v>
      </c>
      <c r="L42" t="str">
        <f t="shared" si="7"/>
        <v>Line_sucrose_16h</v>
      </c>
      <c r="M42">
        <f t="shared" si="2"/>
        <v>27.454899999999999</v>
      </c>
      <c r="N42">
        <f t="shared" si="2"/>
        <v>28.194700000000001</v>
      </c>
      <c r="Q42" t="str">
        <f t="shared" si="3"/>
        <v>Line_sucrose_16h</v>
      </c>
      <c r="R42">
        <f t="shared" si="4"/>
        <v>185.92240000000001</v>
      </c>
      <c r="S42">
        <f t="shared" si="5"/>
        <v>145.34389999999999</v>
      </c>
      <c r="T42">
        <f t="shared" si="6"/>
        <v>140.04679999999999</v>
      </c>
    </row>
    <row r="43" spans="2:20" x14ac:dyDescent="0.3">
      <c r="B43" t="s">
        <v>13</v>
      </c>
      <c r="C43" t="s">
        <v>4</v>
      </c>
      <c r="D43" t="s">
        <v>2</v>
      </c>
      <c r="E43">
        <v>2</v>
      </c>
      <c r="F43">
        <v>30.660399999999999</v>
      </c>
      <c r="G43">
        <v>32.045099999999998</v>
      </c>
      <c r="H43">
        <v>162.88399999999999</v>
      </c>
      <c r="I43">
        <v>141.0703</v>
      </c>
      <c r="J43">
        <v>139.12020000000001</v>
      </c>
      <c r="L43" t="str">
        <f t="shared" si="7"/>
        <v>Line_sucrose_16h</v>
      </c>
      <c r="M43">
        <f t="shared" si="2"/>
        <v>30.660399999999999</v>
      </c>
      <c r="N43">
        <f t="shared" si="2"/>
        <v>32.045099999999998</v>
      </c>
      <c r="Q43" t="str">
        <f t="shared" si="3"/>
        <v>Line_sucrose_16h</v>
      </c>
      <c r="R43">
        <f t="shared" si="4"/>
        <v>162.88399999999999</v>
      </c>
      <c r="S43">
        <f t="shared" si="5"/>
        <v>141.0703</v>
      </c>
      <c r="T43">
        <f t="shared" si="6"/>
        <v>139.12020000000001</v>
      </c>
    </row>
    <row r="44" spans="2:20" x14ac:dyDescent="0.3">
      <c r="B44" t="s">
        <v>13</v>
      </c>
      <c r="C44" t="s">
        <v>4</v>
      </c>
      <c r="D44" t="s">
        <v>2</v>
      </c>
      <c r="E44">
        <v>3</v>
      </c>
      <c r="F44">
        <v>30.660399999999999</v>
      </c>
      <c r="G44">
        <v>32.045099999999998</v>
      </c>
      <c r="H44">
        <v>162.88399999999999</v>
      </c>
      <c r="I44">
        <v>141.0703</v>
      </c>
      <c r="J44">
        <v>139.12020000000001</v>
      </c>
      <c r="L44" t="str">
        <f t="shared" si="7"/>
        <v>Line_sucrose_16h</v>
      </c>
      <c r="M44">
        <f t="shared" si="2"/>
        <v>30.660399999999999</v>
      </c>
      <c r="N44">
        <f t="shared" si="2"/>
        <v>32.045099999999998</v>
      </c>
      <c r="Q44" t="str">
        <f t="shared" si="3"/>
        <v>Line_sucrose_16h</v>
      </c>
      <c r="R44">
        <f t="shared" si="4"/>
        <v>162.88399999999999</v>
      </c>
      <c r="S44">
        <f t="shared" si="5"/>
        <v>141.0703</v>
      </c>
      <c r="T44">
        <f t="shared" si="6"/>
        <v>139.12020000000001</v>
      </c>
    </row>
    <row r="45" spans="2:20" x14ac:dyDescent="0.3">
      <c r="B45" t="s">
        <v>13</v>
      </c>
      <c r="C45" t="s">
        <v>4</v>
      </c>
      <c r="D45" t="s">
        <v>2</v>
      </c>
      <c r="E45">
        <v>4</v>
      </c>
      <c r="F45">
        <v>29.624400000000001</v>
      </c>
      <c r="G45">
        <v>30.0489</v>
      </c>
      <c r="H45">
        <v>159.27459999999999</v>
      </c>
      <c r="I45">
        <v>140.16990000000001</v>
      </c>
      <c r="J45">
        <v>135.61349999999999</v>
      </c>
      <c r="L45" t="str">
        <f t="shared" si="7"/>
        <v>Line_sucrose_16h</v>
      </c>
      <c r="M45">
        <f t="shared" si="2"/>
        <v>29.624400000000001</v>
      </c>
      <c r="N45">
        <f t="shared" si="2"/>
        <v>30.0489</v>
      </c>
      <c r="Q45" t="str">
        <f t="shared" si="3"/>
        <v>Line_sucrose_16h</v>
      </c>
      <c r="R45">
        <f t="shared" si="4"/>
        <v>159.27459999999999</v>
      </c>
      <c r="S45">
        <f t="shared" si="5"/>
        <v>140.16990000000001</v>
      </c>
      <c r="T45">
        <f t="shared" si="6"/>
        <v>135.61349999999999</v>
      </c>
    </row>
    <row r="46" spans="2:20" x14ac:dyDescent="0.3">
      <c r="B46" t="s">
        <v>13</v>
      </c>
      <c r="C46" t="s">
        <v>4</v>
      </c>
      <c r="D46" t="s">
        <v>2</v>
      </c>
      <c r="E46">
        <v>5</v>
      </c>
      <c r="F46">
        <v>31.260100000000001</v>
      </c>
      <c r="G46">
        <v>31.7272</v>
      </c>
      <c r="H46">
        <v>194.01779999999999</v>
      </c>
      <c r="I46">
        <v>160.9127</v>
      </c>
      <c r="J46">
        <v>157.66120000000001</v>
      </c>
      <c r="L46" t="str">
        <f t="shared" si="7"/>
        <v>Line_sucrose_16h</v>
      </c>
      <c r="M46">
        <f t="shared" si="2"/>
        <v>31.260100000000001</v>
      </c>
      <c r="N46">
        <f t="shared" si="2"/>
        <v>31.7272</v>
      </c>
      <c r="Q46" t="str">
        <f t="shared" si="3"/>
        <v>Line_sucrose_16h</v>
      </c>
      <c r="R46">
        <f t="shared" si="4"/>
        <v>194.01779999999999</v>
      </c>
      <c r="S46">
        <f t="shared" si="5"/>
        <v>160.9127</v>
      </c>
      <c r="T46">
        <f t="shared" si="6"/>
        <v>157.66120000000001</v>
      </c>
    </row>
    <row r="47" spans="2:20" x14ac:dyDescent="0.3">
      <c r="B47" t="s">
        <v>13</v>
      </c>
      <c r="C47" t="s">
        <v>4</v>
      </c>
      <c r="D47" t="s">
        <v>2</v>
      </c>
      <c r="E47">
        <v>6</v>
      </c>
      <c r="F47">
        <v>31.705100000000002</v>
      </c>
      <c r="G47">
        <v>32.746600000000001</v>
      </c>
      <c r="H47">
        <v>190.1259</v>
      </c>
      <c r="I47">
        <v>143.50149999999999</v>
      </c>
      <c r="J47">
        <v>151.78120000000001</v>
      </c>
      <c r="L47" t="str">
        <f t="shared" si="7"/>
        <v>Line_sucrose_16h</v>
      </c>
      <c r="M47">
        <f t="shared" si="2"/>
        <v>31.705100000000002</v>
      </c>
      <c r="N47">
        <f t="shared" si="2"/>
        <v>32.746600000000001</v>
      </c>
      <c r="Q47" t="str">
        <f t="shared" si="3"/>
        <v>Line_sucrose_16h</v>
      </c>
      <c r="R47">
        <f t="shared" si="4"/>
        <v>190.1259</v>
      </c>
      <c r="S47">
        <f t="shared" si="5"/>
        <v>143.50149999999999</v>
      </c>
      <c r="T47">
        <f t="shared" si="6"/>
        <v>151.78120000000001</v>
      </c>
    </row>
    <row r="48" spans="2:20" x14ac:dyDescent="0.3">
      <c r="B48" t="s">
        <v>13</v>
      </c>
      <c r="C48" t="s">
        <v>4</v>
      </c>
      <c r="D48" t="s">
        <v>2</v>
      </c>
      <c r="E48">
        <v>7</v>
      </c>
      <c r="F48">
        <v>32.6584</v>
      </c>
      <c r="G48">
        <v>33.743299999999998</v>
      </c>
      <c r="H48">
        <v>165.1523</v>
      </c>
      <c r="I48">
        <v>139.2208</v>
      </c>
      <c r="J48">
        <v>141.0472</v>
      </c>
      <c r="L48" t="str">
        <f t="shared" si="7"/>
        <v>Line_sucrose_16h</v>
      </c>
      <c r="M48">
        <f t="shared" si="2"/>
        <v>32.6584</v>
      </c>
      <c r="N48">
        <f t="shared" si="2"/>
        <v>33.743299999999998</v>
      </c>
      <c r="Q48" t="str">
        <f t="shared" si="3"/>
        <v>Line_sucrose_16h</v>
      </c>
      <c r="R48">
        <f t="shared" si="4"/>
        <v>165.1523</v>
      </c>
      <c r="S48">
        <f t="shared" si="5"/>
        <v>139.2208</v>
      </c>
      <c r="T48">
        <f t="shared" si="6"/>
        <v>141.0472</v>
      </c>
    </row>
    <row r="49" spans="2:20" x14ac:dyDescent="0.3">
      <c r="B49" t="s">
        <v>13</v>
      </c>
      <c r="C49" t="s">
        <v>4</v>
      </c>
      <c r="D49" t="s">
        <v>2</v>
      </c>
      <c r="E49">
        <v>8</v>
      </c>
      <c r="F49">
        <v>33.509700000000002</v>
      </c>
      <c r="G49">
        <v>34.900500000000001</v>
      </c>
      <c r="H49">
        <v>141.90029999999999</v>
      </c>
      <c r="I49">
        <v>125.2978</v>
      </c>
      <c r="J49">
        <v>124.3146</v>
      </c>
      <c r="L49" t="str">
        <f t="shared" si="7"/>
        <v>Line_sucrose_16h</v>
      </c>
      <c r="M49">
        <f t="shared" si="2"/>
        <v>33.509700000000002</v>
      </c>
      <c r="N49">
        <f t="shared" si="2"/>
        <v>34.900500000000001</v>
      </c>
      <c r="Q49" t="str">
        <f t="shared" si="3"/>
        <v>Line_sucrose_16h</v>
      </c>
      <c r="R49">
        <f t="shared" si="4"/>
        <v>141.90029999999999</v>
      </c>
      <c r="S49">
        <f t="shared" si="5"/>
        <v>125.2978</v>
      </c>
      <c r="T49">
        <f t="shared" si="6"/>
        <v>124.3146</v>
      </c>
    </row>
    <row r="50" spans="2:20" x14ac:dyDescent="0.3">
      <c r="B50" t="s">
        <v>13</v>
      </c>
      <c r="C50" t="s">
        <v>4</v>
      </c>
      <c r="D50" t="s">
        <v>2</v>
      </c>
      <c r="E50">
        <v>9</v>
      </c>
      <c r="F50">
        <v>31.995699999999999</v>
      </c>
      <c r="G50">
        <v>32.169199999999996</v>
      </c>
      <c r="H50">
        <v>162.2321</v>
      </c>
      <c r="I50">
        <v>140.73249999999999</v>
      </c>
      <c r="J50">
        <v>143.27160000000001</v>
      </c>
      <c r="L50" t="str">
        <f t="shared" si="7"/>
        <v>Line_sucrose_16h</v>
      </c>
      <c r="M50">
        <f t="shared" si="2"/>
        <v>31.995699999999999</v>
      </c>
      <c r="N50">
        <f t="shared" si="2"/>
        <v>32.169199999999996</v>
      </c>
      <c r="Q50" t="str">
        <f t="shared" si="3"/>
        <v>Line_sucrose_16h</v>
      </c>
      <c r="R50">
        <f t="shared" si="4"/>
        <v>162.2321</v>
      </c>
      <c r="S50">
        <f t="shared" si="5"/>
        <v>140.73249999999999</v>
      </c>
      <c r="T50">
        <f t="shared" si="6"/>
        <v>143.27160000000001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D5C-0F39-494F-90D2-A42E6EE2BF4E}">
  <sheetPr codeName="Sheet2"/>
  <dimension ref="A1:L14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30.6640625" bestFit="1" customWidth="1"/>
    <col min="3" max="3" width="31.88671875" bestFit="1" customWidth="1"/>
    <col min="4" max="6" width="33.44140625" bestFit="1" customWidth="1"/>
  </cols>
  <sheetData>
    <row r="1" spans="1:12" x14ac:dyDescent="0.3">
      <c r="A1" s="1" t="s">
        <v>6</v>
      </c>
      <c r="B1" t="s">
        <v>10</v>
      </c>
      <c r="C1" t="s">
        <v>12</v>
      </c>
      <c r="D1" t="s">
        <v>11</v>
      </c>
      <c r="G1" s="1"/>
      <c r="H1" s="1"/>
      <c r="I1" s="1"/>
      <c r="J1" s="1"/>
      <c r="K1" s="1"/>
      <c r="L1" s="1"/>
    </row>
    <row r="2" spans="1:12" x14ac:dyDescent="0.3">
      <c r="A2" s="2" t="s">
        <v>0</v>
      </c>
      <c r="B2" s="5">
        <v>199.46817368421057</v>
      </c>
      <c r="C2" s="5">
        <v>168.7447210526316</v>
      </c>
      <c r="D2" s="5">
        <v>169.23911052631578</v>
      </c>
    </row>
    <row r="3" spans="1:12" x14ac:dyDescent="0.3">
      <c r="A3" s="3" t="s">
        <v>1</v>
      </c>
      <c r="B3" s="5">
        <v>212.00860000000003</v>
      </c>
      <c r="C3" s="5">
        <v>185.73411999999999</v>
      </c>
      <c r="D3" s="5">
        <v>185.49626000000001</v>
      </c>
    </row>
    <row r="4" spans="1:12" x14ac:dyDescent="0.3">
      <c r="A4" s="4" t="s">
        <v>3</v>
      </c>
      <c r="B4" s="5">
        <v>213.57102500000002</v>
      </c>
      <c r="C4" s="5">
        <v>186.57302500000003</v>
      </c>
      <c r="D4" s="5">
        <v>188.5908</v>
      </c>
    </row>
    <row r="5" spans="1:12" x14ac:dyDescent="0.3">
      <c r="A5" s="4" t="s">
        <v>2</v>
      </c>
      <c r="B5" s="5">
        <v>210.96698333333333</v>
      </c>
      <c r="C5" s="5">
        <v>185.17485000000002</v>
      </c>
      <c r="D5" s="5">
        <v>183.43323333333333</v>
      </c>
    </row>
    <row r="6" spans="1:12" x14ac:dyDescent="0.3">
      <c r="A6" s="3" t="s">
        <v>4</v>
      </c>
      <c r="B6" s="5">
        <v>185.53436666666664</v>
      </c>
      <c r="C6" s="5">
        <v>149.8676111111111</v>
      </c>
      <c r="D6" s="5">
        <v>151.17561111111112</v>
      </c>
    </row>
    <row r="7" spans="1:12" x14ac:dyDescent="0.3">
      <c r="A7" s="4" t="s">
        <v>2</v>
      </c>
      <c r="B7" s="5">
        <v>185.53436666666664</v>
      </c>
      <c r="C7" s="5">
        <v>149.8676111111111</v>
      </c>
      <c r="D7" s="5">
        <v>151.17561111111112</v>
      </c>
    </row>
    <row r="8" spans="1:12" x14ac:dyDescent="0.3">
      <c r="A8" s="2" t="s">
        <v>5</v>
      </c>
      <c r="B8" s="5">
        <v>216.92356666666666</v>
      </c>
      <c r="C8" s="5">
        <v>176.03513000000001</v>
      </c>
      <c r="D8" s="5">
        <v>175.95840999999999</v>
      </c>
    </row>
    <row r="9" spans="1:12" x14ac:dyDescent="0.3">
      <c r="A9" s="3" t="s">
        <v>1</v>
      </c>
      <c r="B9" s="5">
        <v>246.09978421052639</v>
      </c>
      <c r="C9" s="5">
        <v>199.68967894736844</v>
      </c>
      <c r="D9" s="5">
        <v>198.61390526315787</v>
      </c>
    </row>
    <row r="10" spans="1:12" x14ac:dyDescent="0.3">
      <c r="A10" s="4" t="s">
        <v>3</v>
      </c>
      <c r="B10" s="5">
        <v>224.52880909090908</v>
      </c>
      <c r="C10" s="5">
        <v>195.41041818181819</v>
      </c>
      <c r="D10" s="5">
        <v>193.53156363636361</v>
      </c>
    </row>
    <row r="11" spans="1:12" x14ac:dyDescent="0.3">
      <c r="A11" s="4" t="s">
        <v>2</v>
      </c>
      <c r="B11" s="5">
        <v>275.75987499999997</v>
      </c>
      <c r="C11" s="5">
        <v>205.57366249999998</v>
      </c>
      <c r="D11" s="5">
        <v>205.602125</v>
      </c>
    </row>
    <row r="12" spans="1:12" x14ac:dyDescent="0.3">
      <c r="A12" s="3" t="s">
        <v>4</v>
      </c>
      <c r="B12" s="5">
        <v>166.52828181818182</v>
      </c>
      <c r="C12" s="5">
        <v>135.17727272727271</v>
      </c>
      <c r="D12" s="5">
        <v>136.82619090909091</v>
      </c>
    </row>
    <row r="13" spans="1:12" x14ac:dyDescent="0.3">
      <c r="A13" s="4" t="s">
        <v>2</v>
      </c>
      <c r="B13" s="5">
        <v>166.52828181818182</v>
      </c>
      <c r="C13" s="5">
        <v>135.17727272727271</v>
      </c>
      <c r="D13" s="5">
        <v>136.82619090909091</v>
      </c>
    </row>
    <row r="14" spans="1:12" x14ac:dyDescent="0.3">
      <c r="A14" s="2" t="s">
        <v>7</v>
      </c>
      <c r="B14" s="5">
        <v>210.15514897959184</v>
      </c>
      <c r="C14" s="5">
        <v>173.20823673469386</v>
      </c>
      <c r="D14" s="5">
        <v>173.35296734693875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Alexandre Simão</dc:creator>
  <cp:lastModifiedBy>Tiago Alexandre Simão</cp:lastModifiedBy>
  <dcterms:created xsi:type="dcterms:W3CDTF">2020-12-14T16:45:03Z</dcterms:created>
  <dcterms:modified xsi:type="dcterms:W3CDTF">2021-01-05T08:35:46Z</dcterms:modified>
</cp:coreProperties>
</file>