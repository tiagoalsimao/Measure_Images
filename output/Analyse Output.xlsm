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go\eclipse-workspace\Measure_Images\output\"/>
    </mc:Choice>
  </mc:AlternateContent>
  <xr:revisionPtr revIDLastSave="0" documentId="13_ncr:1_{28795DEC-76A2-418E-BF89-FA951082D3A7}" xr6:coauthVersionLast="45" xr6:coauthVersionMax="45" xr10:uidLastSave="{00000000-0000-0000-0000-000000000000}"/>
  <bookViews>
    <workbookView xWindow="-108" yWindow="-108" windowWidth="23256" windowHeight="12576" xr2:uid="{B71EEB06-AFA8-479A-91BA-59A4569FB237}"/>
  </bookViews>
  <sheets>
    <sheet name="Sheet1" sheetId="1" r:id="rId1"/>
    <sheet name="Sheet3" sheetId="3" r:id="rId2"/>
  </sheets>
  <definedNames>
    <definedName name="_xlnm._FilterDatabase" localSheetId="0" hidden="1">Sheet1!$A$1:$I$50</definedName>
  </definedNames>
  <calcPr calcId="191029"/>
  <pivotCaches>
    <pivotCache cacheId="21" r:id="rId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<sst xmlns="http://schemas.openxmlformats.org/spreadsheetml/2006/main" count="189" uniqueCount="22">
  <si>
    <t>Line</t>
  </si>
  <si>
    <t>treat</t>
  </si>
  <si>
    <t>td</t>
  </si>
  <si>
    <t>gut</t>
  </si>
  <si>
    <t>cell mean (um)</t>
  </si>
  <si>
    <t>cell median (um)</t>
  </si>
  <si>
    <t>9024KO</t>
  </si>
  <si>
    <t>db11</t>
  </si>
  <si>
    <t>16h</t>
  </si>
  <si>
    <t>3h</t>
  </si>
  <si>
    <t>sucrose</t>
  </si>
  <si>
    <t>w1118</t>
  </si>
  <si>
    <t>Row Labels</t>
  </si>
  <si>
    <t>Grand Total</t>
  </si>
  <si>
    <t>Average of cell mean (um)</t>
  </si>
  <si>
    <t>Average of cell median (um)</t>
  </si>
  <si>
    <t>gut thickness max (um)</t>
  </si>
  <si>
    <t>gut thickness mean (um)</t>
  </si>
  <si>
    <t>gut thickness median (um)</t>
  </si>
  <si>
    <t>Average of gut thickness max (um)</t>
  </si>
  <si>
    <t>Average of gut thickness median (um)</t>
  </si>
  <si>
    <t>Average of gut thickness mean (um)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</si>
</sst>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Average of cell mean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Sheet1!$M$2:$M$14</c:f>
              <c:numCache>
                <c:formatCode>General</c:formatCode>
                <c:ptCount val="6"/>
                <c:pt idx="0">
                  <c:v>31.190975000000002</c:v>
                </c:pt>
                <c:pt idx="1">
                  <c:v>30.081599999999998</c:v>
                </c:pt>
                <c:pt idx="2">
                  <c:v>32.604722222222222</c:v>
                </c:pt>
                <c:pt idx="3">
                  <c:v>28.214963636363635</c:v>
                </c:pt>
                <c:pt idx="4">
                  <c:v>24.745937500000004</c:v>
                </c:pt>
                <c:pt idx="5">
                  <c:v>31.851363636363637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6-4D33-AC1F-D77230554E5D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Average of cell median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Sheet1!$N$2:$N$14</c:f>
              <c:numCache>
                <c:formatCode>General</c:formatCode>
                <c:ptCount val="6"/>
                <c:pt idx="0">
                  <c:v>31.681549999999994</c:v>
                </c:pt>
                <c:pt idx="1">
                  <c:v>30.371549999999999</c:v>
                </c:pt>
                <c:pt idx="2">
                  <c:v>33.175122222222214</c:v>
                </c:pt>
                <c:pt idx="3">
                  <c:v>27.987636363636366</c:v>
                </c:pt>
                <c:pt idx="4">
                  <c:v>23.604662499999996</c:v>
                </c:pt>
                <c:pt idx="5">
                  <c:v>32.185281818181828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6-4D33-AC1F-D7723055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4866927"/>
        <c:axId val="1954867343"/>
      </c:barChart>
      <c:catAx>
        <c:axId val="19548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7343"/>
        <c:crosses val="autoZero"/>
        <c:auto val="1"/>
        <c:lblAlgn val="ctr"/>
        <c:lblOffset val="100"/>
        <c:noMultiLvlLbl val="0"/>
      </c:catAx>
      <c:valAx>
        <c:axId val="195486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Output.xlsm]Sheet3!PivotTable1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Average of gut thickness max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Sheet3!$B$2:$B$14</c:f>
              <c:numCache>
                <c:formatCode>General</c:formatCode>
                <c:ptCount val="6"/>
                <c:pt idx="0">
                  <c:v>214.72502500000002</c:v>
                </c:pt>
                <c:pt idx="1">
                  <c:v>212.21378333333334</c:v>
                </c:pt>
                <c:pt idx="2">
                  <c:v>186.6922888888889</c:v>
                </c:pt>
                <c:pt idx="3">
                  <c:v>225.69342727272726</c:v>
                </c:pt>
                <c:pt idx="4">
                  <c:v>276.87077499999998</c:v>
                </c:pt>
                <c:pt idx="5">
                  <c:v>167.72621818181818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C-4725-B9A4-3E7B94C2EBE2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Average of gut thickness mean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Sheet3!$C$2:$C$14</c:f>
              <c:numCache>
                <c:formatCode>General</c:formatCode>
                <c:ptCount val="6"/>
                <c:pt idx="0">
                  <c:v>187.77445</c:v>
                </c:pt>
                <c:pt idx="1">
                  <c:v>186.32283333333331</c:v>
                </c:pt>
                <c:pt idx="2">
                  <c:v>150.97527777777776</c:v>
                </c:pt>
                <c:pt idx="3">
                  <c:v>196.61122727272729</c:v>
                </c:pt>
                <c:pt idx="4">
                  <c:v>206.7048375</c:v>
                </c:pt>
                <c:pt idx="5">
                  <c:v>136.39194545454546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1C-4725-B9A4-3E7B94C2EBE2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Average of gut thickness median (um)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Sheet3!$D$2:$D$14</c:f>
              <c:numCache>
                <c:formatCode>General</c:formatCode>
                <c:ptCount val="6"/>
                <c:pt idx="0">
                  <c:v>189.81012499999997</c:v>
                </c:pt>
                <c:pt idx="1">
                  <c:v>184.58574999999999</c:v>
                </c:pt>
                <c:pt idx="2">
                  <c:v>152.24658888888888</c:v>
                </c:pt>
                <c:pt idx="3">
                  <c:v>194.6226818181818</c:v>
                </c:pt>
                <c:pt idx="4">
                  <c:v>206.65231249999999</c:v>
                </c:pt>
                <c:pt idx="5">
                  <c:v>138.06737272727273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1C-4725-B9A4-3E7B94C2E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5563616"/>
        <c:axId val="180321536"/>
      </c:barChart>
      <c:catAx>
        <c:axId val="73556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21536"/>
        <c:crosses val="autoZero"/>
        <c:auto val="1"/>
        <c:lblAlgn val="ctr"/>
        <c:lblOffset val="100"/>
        <c:noMultiLvlLbl val="0"/>
      </c:catAx>
      <c:valAx>
        <c:axId val="18032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6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16</xdr:row>
      <xdr:rowOff>110490</xdr:rowOff>
    </xdr:from>
    <xdr:to>
      <xdr:col>20</xdr:col>
      <xdr:colOff>449580</xdr:colOff>
      <xdr:row>31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059F3-2864-49E1-8AFF-827241B99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10</xdr:row>
      <xdr:rowOff>87630</xdr:rowOff>
    </xdr:from>
    <xdr:to>
      <xdr:col>5</xdr:col>
      <xdr:colOff>365760</xdr:colOff>
      <xdr:row>25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633D31-5C5F-4B4C-8789-2191ED829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Alexandre Simão" refreshedDate="44180.697244328701" createdVersion="6" refreshedVersion="6" minRefreshableVersion="3" recordCount="49" xr:uid="{5B2CDAE0-D28F-4698-9A25-92926973E3D9}">
  <cacheSource type="worksheet">
    <worksheetSource ref="A1:I50" sheet="Sheet1"/>
  </cacheSource>
  <cacheFields count="9">
    <cacheField name="Line" numFmtId="0">
      <sharedItems count="2">
        <s v="9024KO"/>
        <s v="w1118"/>
      </sharedItems>
    </cacheField>
    <cacheField name="treat" numFmtId="0">
      <sharedItems count="2">
        <s v="db11"/>
        <s v="sucrose"/>
      </sharedItems>
    </cacheField>
    <cacheField name="td" numFmtId="0">
      <sharedItems count="2">
        <s v="16h"/>
        <s v="3h"/>
      </sharedItems>
    </cacheField>
    <cacheField name="gut" numFmtId="0">
      <sharedItems containsSemiMixedTypes="0" containsString="0" containsNumber="1" containsInteger="1" minValue="1" maxValue="11"/>
    </cacheField>
    <cacheField name="cell mean (um)" numFmtId="0">
      <sharedItems containsSemiMixedTypes="0" containsString="0" containsNumber="1" minValue="19.3841" maxValue="37.802999999999997"/>
    </cacheField>
    <cacheField name="cell median (um)" numFmtId="0">
      <sharedItems containsSemiMixedTypes="0" containsString="0" containsNumber="1" minValue="16.816299999999998" maxValue="37.890799999999999"/>
    </cacheField>
    <cacheField name="gut thickness max (um)" numFmtId="0">
      <sharedItems containsSemiMixedTypes="0" containsString="0" containsNumber="1" minValue="126.92829999999999" maxValue="385.76479999999998" count="48">
        <n v="270.58670000000001"/>
        <n v="211.768"/>
        <n v="222.68899999999999"/>
        <n v="214.1386"/>
        <n v="126.92829999999999"/>
        <n v="227.1721"/>
        <n v="212.80109999999999"/>
        <n v="244.6088"/>
        <n v="191.39580000000001"/>
        <n v="210.09440000000001"/>
        <n v="182.71170000000001"/>
        <n v="198.6036"/>
        <n v="161.77809999999999"/>
        <n v="164.08009999999999"/>
        <n v="202.39240000000001"/>
        <n v="200.91640000000001"/>
        <n v="179.46279999999999"/>
        <n v="195.82"/>
        <n v="194.46549999999999"/>
        <n v="270.31799999999998"/>
        <n v="253.68960000000001"/>
        <n v="272.90929999999997"/>
        <n v="271.85149999999999"/>
        <n v="256.36130000000003"/>
        <n v="385.76479999999998"/>
        <n v="236.2603"/>
        <n v="267.81139999999999"/>
        <n v="252.6695"/>
        <n v="214.87469999999999"/>
        <n v="205.7165"/>
        <n v="238.1497"/>
        <n v="175.01079999999999"/>
        <n v="228.94"/>
        <n v="207.4254"/>
        <n v="258.5523"/>
        <n v="249.73509999999999"/>
        <n v="228.31559999999999"/>
        <n v="223.2381"/>
        <n v="143.88929999999999"/>
        <n v="176.70570000000001"/>
        <n v="185.92240000000001"/>
        <n v="162.88399999999999"/>
        <n v="159.27459999999999"/>
        <n v="194.01779999999999"/>
        <n v="190.1259"/>
        <n v="165.1523"/>
        <n v="141.90029999999999"/>
        <n v="162.2321"/>
      </sharedItems>
    </cacheField>
    <cacheField name="gut thickness mean (um)" numFmtId="0">
      <sharedItems containsSemiMixedTypes="0" containsString="0" containsNumber="1" minValue="92.526200000000003" maxValue="271.79759999999999"/>
    </cacheField>
    <cacheField name="gut thickness median (um)" numFmtId="0">
      <sharedItems containsSemiMixedTypes="0" containsString="0" containsNumber="1" minValue="107.26309999999999" maxValue="265.541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1"/>
    <n v="25.845099999999999"/>
    <n v="24.863499999999998"/>
    <x v="0"/>
    <n v="247.31270000000001"/>
    <n v="246.61840000000001"/>
  </r>
  <r>
    <x v="0"/>
    <x v="0"/>
    <x v="0"/>
    <n v="3"/>
    <n v="31.658200000000001"/>
    <n v="33.096400000000003"/>
    <x v="1"/>
    <n v="194.3211"/>
    <n v="194.3186"/>
  </r>
  <r>
    <x v="0"/>
    <x v="0"/>
    <x v="0"/>
    <n v="4"/>
    <n v="29.992699999999999"/>
    <n v="30.133600000000001"/>
    <x v="2"/>
    <n v="206.45859999999999"/>
    <n v="209.69049999999999"/>
  </r>
  <r>
    <x v="0"/>
    <x v="0"/>
    <x v="0"/>
    <n v="5"/>
    <n v="33.164999999999999"/>
    <n v="33.818199999999997"/>
    <x v="3"/>
    <n v="168.1823"/>
    <n v="161.86770000000001"/>
  </r>
  <r>
    <x v="0"/>
    <x v="0"/>
    <x v="0"/>
    <n v="7"/>
    <n v="27.524699999999999"/>
    <n v="27.473500000000001"/>
    <x v="4"/>
    <n v="109.1039"/>
    <n v="107.26309999999999"/>
  </r>
  <r>
    <x v="0"/>
    <x v="0"/>
    <x v="0"/>
    <n v="8"/>
    <n v="32.303899999999999"/>
    <n v="32.844099999999997"/>
    <x v="5"/>
    <n v="192.55840000000001"/>
    <n v="187.75620000000001"/>
  </r>
  <r>
    <x v="0"/>
    <x v="0"/>
    <x v="1"/>
    <n v="4"/>
    <n v="32.629600000000003"/>
    <n v="33.198099999999997"/>
    <x v="6"/>
    <n v="186.7433"/>
    <n v="187.9427"/>
  </r>
  <r>
    <x v="0"/>
    <x v="0"/>
    <x v="1"/>
    <n v="5"/>
    <n v="33.368099999999998"/>
    <n v="34.941099999999999"/>
    <x v="7"/>
    <n v="203.99029999999999"/>
    <n v="210.6353"/>
  </r>
  <r>
    <x v="0"/>
    <x v="0"/>
    <x v="1"/>
    <n v="7"/>
    <n v="31.277000000000001"/>
    <n v="30.8474"/>
    <x v="8"/>
    <n v="172.5171"/>
    <n v="170.14789999999999"/>
  </r>
  <r>
    <x v="0"/>
    <x v="0"/>
    <x v="1"/>
    <n v="8"/>
    <n v="27.4892"/>
    <n v="27.739599999999999"/>
    <x v="9"/>
    <n v="187.84710000000001"/>
    <n v="190.5146"/>
  </r>
  <r>
    <x v="0"/>
    <x v="1"/>
    <x v="0"/>
    <n v="1"/>
    <n v="37.802999999999997"/>
    <n v="37.890799999999999"/>
    <x v="10"/>
    <n v="160.3177"/>
    <n v="159.05709999999999"/>
  </r>
  <r>
    <x v="0"/>
    <x v="1"/>
    <x v="0"/>
    <n v="2"/>
    <n v="32.691600000000001"/>
    <n v="32.958100000000002"/>
    <x v="11"/>
    <n v="171.90549999999999"/>
    <n v="177.68219999999999"/>
  </r>
  <r>
    <x v="0"/>
    <x v="1"/>
    <x v="0"/>
    <n v="3"/>
    <n v="30.5351"/>
    <n v="30.031600000000001"/>
    <x v="12"/>
    <n v="144.95820000000001"/>
    <n v="143.57320000000001"/>
  </r>
  <r>
    <x v="0"/>
    <x v="1"/>
    <x v="0"/>
    <n v="4"/>
    <n v="34.394799999999996"/>
    <n v="34.988900000000001"/>
    <x v="13"/>
    <n v="120.12309999999999"/>
    <n v="121.85080000000001"/>
  </r>
  <r>
    <x v="0"/>
    <x v="1"/>
    <x v="0"/>
    <n v="5"/>
    <n v="33.433799999999998"/>
    <n v="34.466299999999997"/>
    <x v="14"/>
    <n v="177.99369999999999"/>
    <n v="180.4796"/>
  </r>
  <r>
    <x v="0"/>
    <x v="1"/>
    <x v="0"/>
    <n v="6"/>
    <n v="31.290099999999999"/>
    <n v="32.481699999999996"/>
    <x v="15"/>
    <n v="141.65360000000001"/>
    <n v="141.44069999999999"/>
  </r>
  <r>
    <x v="0"/>
    <x v="1"/>
    <x v="0"/>
    <n v="7"/>
    <n v="34.002099999999999"/>
    <n v="34.551000000000002"/>
    <x v="16"/>
    <n v="149.47319999999999"/>
    <n v="149.87110000000001"/>
  </r>
  <r>
    <x v="0"/>
    <x v="1"/>
    <x v="0"/>
    <n v="8"/>
    <n v="28.456900000000001"/>
    <n v="28.9678"/>
    <x v="17"/>
    <n v="153.32"/>
    <n v="164.63810000000001"/>
  </r>
  <r>
    <x v="0"/>
    <x v="1"/>
    <x v="0"/>
    <n v="9"/>
    <n v="30.835100000000001"/>
    <n v="32.239899999999999"/>
    <x v="18"/>
    <n v="139.0325"/>
    <n v="131.62649999999999"/>
  </r>
  <r>
    <x v="1"/>
    <x v="0"/>
    <x v="0"/>
    <n v="1"/>
    <n v="23.303999999999998"/>
    <n v="20.111999999999998"/>
    <x v="19"/>
    <n v="121.9462"/>
    <n v="125.5714"/>
  </r>
  <r>
    <x v="1"/>
    <x v="0"/>
    <x v="0"/>
    <n v="2"/>
    <n v="19.3841"/>
    <n v="19.645499999999998"/>
    <x v="20"/>
    <n v="238.21680000000001"/>
    <n v="238.49279999999999"/>
  </r>
  <r>
    <x v="1"/>
    <x v="0"/>
    <x v="0"/>
    <n v="3"/>
    <n v="23.020900000000001"/>
    <n v="19.7974"/>
    <x v="21"/>
    <n v="188.21520000000001"/>
    <n v="191.54490000000001"/>
  </r>
  <r>
    <x v="1"/>
    <x v="0"/>
    <x v="0"/>
    <n v="4"/>
    <n v="19.611599999999999"/>
    <n v="16.816299999999998"/>
    <x v="22"/>
    <n v="137.4699"/>
    <n v="133.08420000000001"/>
  </r>
  <r>
    <x v="1"/>
    <x v="0"/>
    <x v="0"/>
    <n v="5"/>
    <n v="27.400500000000001"/>
    <n v="28.454899999999999"/>
    <x v="23"/>
    <n v="235.54040000000001"/>
    <n v="239.15209999999999"/>
  </r>
  <r>
    <x v="1"/>
    <x v="0"/>
    <x v="0"/>
    <n v="7"/>
    <n v="28.599399999999999"/>
    <n v="27.438099999999999"/>
    <x v="24"/>
    <n v="271.79759999999999"/>
    <n v="265.54149999999998"/>
  </r>
  <r>
    <x v="1"/>
    <x v="0"/>
    <x v="0"/>
    <n v="8"/>
    <n v="24.739100000000001"/>
    <n v="24.461099999999998"/>
    <x v="25"/>
    <n v="212.84440000000001"/>
    <n v="213.00630000000001"/>
  </r>
  <r>
    <x v="1"/>
    <x v="0"/>
    <x v="0"/>
    <n v="9"/>
    <n v="31.907900000000001"/>
    <n v="32.112000000000002"/>
    <x v="26"/>
    <n v="247.60820000000001"/>
    <n v="246.8253"/>
  </r>
  <r>
    <x v="1"/>
    <x v="0"/>
    <x v="1"/>
    <n v="1"/>
    <n v="25.241"/>
    <n v="25.325199999999999"/>
    <x v="27"/>
    <n v="240.42330000000001"/>
    <n v="239.11590000000001"/>
  </r>
  <r>
    <x v="1"/>
    <x v="0"/>
    <x v="1"/>
    <n v="10"/>
    <n v="25.903500000000001"/>
    <n v="25.183"/>
    <x v="28"/>
    <n v="187.2518"/>
    <n v="184.77180000000001"/>
  </r>
  <r>
    <x v="1"/>
    <x v="0"/>
    <x v="1"/>
    <n v="11"/>
    <n v="26.551600000000001"/>
    <n v="27.381399999999999"/>
    <x v="29"/>
    <n v="162.20660000000001"/>
    <n v="155.51599999999999"/>
  </r>
  <r>
    <x v="1"/>
    <x v="0"/>
    <x v="1"/>
    <n v="2"/>
    <n v="23.459700000000002"/>
    <n v="20.654599999999999"/>
    <x v="30"/>
    <n v="217.7355"/>
    <n v="215.91309999999999"/>
  </r>
  <r>
    <x v="1"/>
    <x v="0"/>
    <x v="1"/>
    <n v="3"/>
    <n v="34.488500000000002"/>
    <n v="34.611800000000002"/>
    <x v="31"/>
    <n v="160.7602"/>
    <n v="161.13509999999999"/>
  </r>
  <r>
    <x v="1"/>
    <x v="0"/>
    <x v="1"/>
    <n v="4"/>
    <n v="23.7422"/>
    <n v="22.097100000000001"/>
    <x v="32"/>
    <n v="208.37049999999999"/>
    <n v="204.6053"/>
  </r>
  <r>
    <x v="1"/>
    <x v="0"/>
    <x v="1"/>
    <n v="5"/>
    <n v="25.535799999999998"/>
    <n v="25.485399999999998"/>
    <x v="33"/>
    <n v="177.99379999999999"/>
    <n v="182.31110000000001"/>
  </r>
  <r>
    <x v="1"/>
    <x v="0"/>
    <x v="1"/>
    <n v="6"/>
    <n v="29.709499999999998"/>
    <n v="28.485800000000001"/>
    <x v="34"/>
    <n v="224.04519999999999"/>
    <n v="218.5873"/>
  </r>
  <r>
    <x v="1"/>
    <x v="0"/>
    <x v="1"/>
    <n v="7"/>
    <n v="32.773600000000002"/>
    <n v="35.008400000000002"/>
    <x v="35"/>
    <n v="205.43340000000001"/>
    <n v="197.63409999999999"/>
  </r>
  <r>
    <x v="1"/>
    <x v="0"/>
    <x v="1"/>
    <n v="8"/>
    <n v="32.698300000000003"/>
    <n v="32.875900000000001"/>
    <x v="36"/>
    <n v="196.12129999999999"/>
    <n v="198.126"/>
  </r>
  <r>
    <x v="1"/>
    <x v="0"/>
    <x v="1"/>
    <n v="9"/>
    <n v="30.260899999999999"/>
    <n v="30.755400000000002"/>
    <x v="37"/>
    <n v="182.3819"/>
    <n v="183.13380000000001"/>
  </r>
  <r>
    <x v="1"/>
    <x v="1"/>
    <x v="0"/>
    <n v="1"/>
    <n v="30.1282"/>
    <n v="30.325099999999999"/>
    <x v="38"/>
    <n v="130.46549999999999"/>
    <n v="130.2123"/>
  </r>
  <r>
    <x v="1"/>
    <x v="1"/>
    <x v="0"/>
    <n v="10"/>
    <n v="29.125699999999998"/>
    <n v="30.4954"/>
    <x v="39"/>
    <n v="92.526200000000003"/>
    <n v="116.5523"/>
  </r>
  <r>
    <x v="1"/>
    <x v="1"/>
    <x v="0"/>
    <n v="11"/>
    <n v="30.111899999999999"/>
    <n v="29.412299999999998"/>
    <x v="40"/>
    <n v="145.34389999999999"/>
    <n v="140.04679999999999"/>
  </r>
  <r>
    <x v="1"/>
    <x v="1"/>
    <x v="0"/>
    <n v="2"/>
    <n v="33.1631"/>
    <n v="32.878599999999999"/>
    <x v="41"/>
    <n v="141.0703"/>
    <n v="139.12020000000001"/>
  </r>
  <r>
    <x v="1"/>
    <x v="1"/>
    <x v="0"/>
    <n v="3"/>
    <n v="33.1631"/>
    <n v="32.878599999999999"/>
    <x v="41"/>
    <n v="141.0703"/>
    <n v="139.12020000000001"/>
  </r>
  <r>
    <x v="1"/>
    <x v="1"/>
    <x v="0"/>
    <n v="4"/>
    <n v="29.818100000000001"/>
    <n v="30.1494"/>
    <x v="42"/>
    <n v="140.16990000000001"/>
    <n v="135.61349999999999"/>
  </r>
  <r>
    <x v="1"/>
    <x v="1"/>
    <x v="0"/>
    <n v="5"/>
    <n v="31.967500000000001"/>
    <n v="32.091000000000001"/>
    <x v="43"/>
    <n v="160.9127"/>
    <n v="157.66120000000001"/>
  </r>
  <r>
    <x v="1"/>
    <x v="1"/>
    <x v="0"/>
    <n v="6"/>
    <n v="32.037799999999997"/>
    <n v="33.626899999999999"/>
    <x v="44"/>
    <n v="143.50149999999999"/>
    <n v="151.78120000000001"/>
  </r>
  <r>
    <x v="1"/>
    <x v="1"/>
    <x v="0"/>
    <n v="7"/>
    <n v="33.241900000000001"/>
    <n v="34.284700000000001"/>
    <x v="45"/>
    <n v="139.2208"/>
    <n v="141.0472"/>
  </r>
  <r>
    <x v="1"/>
    <x v="1"/>
    <x v="0"/>
    <n v="8"/>
    <n v="34.924700000000001"/>
    <n v="35.401400000000002"/>
    <x v="46"/>
    <n v="125.2978"/>
    <n v="124.3146"/>
  </r>
  <r>
    <x v="1"/>
    <x v="1"/>
    <x v="0"/>
    <n v="9"/>
    <n v="32.683"/>
    <n v="32.494700000000002"/>
    <x v="47"/>
    <n v="140.73249999999999"/>
    <n v="143.2716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01121D-BD3D-4379-9B98-9716FA315CA8}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L1:N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dataField="1" showAll="0"/>
    <pivotField dataField="1" showAll="0"/>
    <pivotField showAll="0">
      <items count="49">
        <item x="4"/>
        <item x="46"/>
        <item x="38"/>
        <item x="42"/>
        <item x="12"/>
        <item x="47"/>
        <item x="41"/>
        <item x="13"/>
        <item x="45"/>
        <item x="31"/>
        <item x="39"/>
        <item x="16"/>
        <item x="10"/>
        <item x="40"/>
        <item x="44"/>
        <item x="8"/>
        <item x="43"/>
        <item x="18"/>
        <item x="17"/>
        <item x="11"/>
        <item x="15"/>
        <item x="14"/>
        <item x="29"/>
        <item x="33"/>
        <item x="9"/>
        <item x="1"/>
        <item x="6"/>
        <item x="3"/>
        <item x="28"/>
        <item x="2"/>
        <item x="37"/>
        <item x="5"/>
        <item x="36"/>
        <item x="32"/>
        <item x="25"/>
        <item x="30"/>
        <item x="7"/>
        <item x="35"/>
        <item x="27"/>
        <item x="20"/>
        <item x="23"/>
        <item x="34"/>
        <item x="26"/>
        <item x="19"/>
        <item x="0"/>
        <item x="22"/>
        <item x="21"/>
        <item x="24"/>
        <item t="default"/>
      </items>
    </pivotField>
    <pivotField showAll="0"/>
    <pivotField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ell mean (um)" fld="4" subtotal="average" baseField="0" baseItem="0"/>
    <dataField name="Average of cell median (um)" fld="5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7C6F0-93D0-40F0-992A-4B554BC2BF34}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D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>
      <items count="49">
        <item x="4"/>
        <item x="46"/>
        <item x="38"/>
        <item x="42"/>
        <item x="12"/>
        <item x="47"/>
        <item x="41"/>
        <item x="13"/>
        <item x="45"/>
        <item x="31"/>
        <item x="39"/>
        <item x="16"/>
        <item x="10"/>
        <item x="40"/>
        <item x="44"/>
        <item x="8"/>
        <item x="43"/>
        <item x="18"/>
        <item x="17"/>
        <item x="11"/>
        <item x="15"/>
        <item x="14"/>
        <item x="29"/>
        <item x="33"/>
        <item x="9"/>
        <item x="1"/>
        <item x="6"/>
        <item x="3"/>
        <item x="28"/>
        <item x="2"/>
        <item x="37"/>
        <item x="5"/>
        <item x="36"/>
        <item x="32"/>
        <item x="25"/>
        <item x="30"/>
        <item x="7"/>
        <item x="35"/>
        <item x="27"/>
        <item x="20"/>
        <item x="23"/>
        <item x="34"/>
        <item x="26"/>
        <item x="19"/>
        <item x="0"/>
        <item x="22"/>
        <item x="21"/>
        <item x="24"/>
        <item t="default"/>
      </items>
    </pivotField>
    <pivotField dataField="1" showAll="0"/>
    <pivotField dataField="1"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gut thickness max (um)" fld="6" subtotal="average" baseField="2" baseItem="1"/>
    <dataField name="Average of gut thickness mean (um)" fld="7" subtotal="average" baseField="2" baseItem="1"/>
    <dataField name="Average of gut thickness median (um)" fld="8" subtotal="average" baseField="2" baseItem="1"/>
  </dataFields>
  <chartFormats count="1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65B95-0601-4A02-AA6E-2E26CC6E729C}">
  <sheetPr codeName="Sheet1"/>
  <dimension ref="A1:N50"/>
  <sheetViews>
    <sheetView tabSelected="1" workbookViewId="0">
      <pane ySplit="1" topLeftCell="A2" activePane="bottomLeft" state="frozen"/>
      <selection pane="bottomLeft" activeCell="H54" sqref="H54"/>
    </sheetView>
  </sheetViews>
  <sheetFormatPr defaultRowHeight="14.4" x14ac:dyDescent="0.3"/>
  <cols>
    <col min="1" max="1" width="7.33203125" bestFit="1" customWidth="1"/>
    <col min="2" max="2" width="7.21875" bestFit="1" customWidth="1"/>
    <col min="3" max="3" width="4" bestFit="1" customWidth="1"/>
    <col min="4" max="4" width="5.33203125" customWidth="1"/>
    <col min="5" max="6" width="8.6640625" customWidth="1"/>
    <col min="7" max="9" width="9.6640625" customWidth="1"/>
    <col min="12" max="12" width="12.5546875" bestFit="1" customWidth="1"/>
    <col min="13" max="13" width="23.44140625" bestFit="1" customWidth="1"/>
    <col min="14" max="14" width="25" bestFit="1" customWidth="1"/>
    <col min="15" max="15" width="30.6640625" bestFit="1" customWidth="1"/>
    <col min="16" max="16" width="31.88671875" bestFit="1" customWidth="1"/>
    <col min="17" max="17" width="33.44140625" bestFit="1" customWidth="1"/>
  </cols>
  <sheetData>
    <row r="1" spans="1:14" ht="27.6" customHeigh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16</v>
      </c>
      <c r="H1" s="6" t="s">
        <v>17</v>
      </c>
      <c r="I1" s="6" t="s">
        <v>18</v>
      </c>
      <c r="L1" s="1" t="s">
        <v>12</v>
      </c>
      <c r="M1" t="s">
        <v>14</v>
      </c>
      <c r="N1" t="s">
        <v>15</v>
      </c>
    </row>
    <row r="2" spans="1:14" x14ac:dyDescent="0.3">
      <c r="A2" t="s">
        <v>6</v>
      </c>
      <c r="B2" t="s">
        <v>7</v>
      </c>
      <c r="C2" t="s">
        <v>8</v>
      </c>
      <c r="D2">
        <v>1</v>
      </c>
      <c r="E2">
        <v>25.845099999999999</v>
      </c>
      <c r="F2">
        <v>24.863499999999998</v>
      </c>
      <c r="G2">
        <v>270.58670000000001</v>
      </c>
      <c r="H2">
        <v>247.31270000000001</v>
      </c>
      <c r="I2">
        <v>246.61840000000001</v>
      </c>
      <c r="L2" s="2" t="s">
        <v>6</v>
      </c>
      <c r="M2" s="5">
        <v>31.510315789473687</v>
      </c>
      <c r="N2" s="5">
        <v>31.975347368421055</v>
      </c>
    </row>
    <row r="3" spans="1:14" x14ac:dyDescent="0.3">
      <c r="A3" t="s">
        <v>6</v>
      </c>
      <c r="B3" t="s">
        <v>7</v>
      </c>
      <c r="C3" t="s">
        <v>8</v>
      </c>
      <c r="D3">
        <v>3</v>
      </c>
      <c r="E3">
        <v>31.658200000000001</v>
      </c>
      <c r="F3">
        <v>33.096400000000003</v>
      </c>
      <c r="G3">
        <v>211.768</v>
      </c>
      <c r="H3">
        <v>194.3211</v>
      </c>
      <c r="I3">
        <v>194.3186</v>
      </c>
      <c r="L3" s="3" t="s">
        <v>7</v>
      </c>
      <c r="M3" s="5">
        <v>30.525350000000003</v>
      </c>
      <c r="N3" s="5">
        <v>30.895549999999993</v>
      </c>
    </row>
    <row r="4" spans="1:14" x14ac:dyDescent="0.3">
      <c r="A4" t="s">
        <v>6</v>
      </c>
      <c r="B4" t="s">
        <v>7</v>
      </c>
      <c r="C4" t="s">
        <v>8</v>
      </c>
      <c r="D4">
        <v>4</v>
      </c>
      <c r="E4">
        <v>29.992699999999999</v>
      </c>
      <c r="F4">
        <v>30.133600000000001</v>
      </c>
      <c r="G4">
        <v>222.68899999999999</v>
      </c>
      <c r="H4">
        <v>206.45859999999999</v>
      </c>
      <c r="I4">
        <v>209.69049999999999</v>
      </c>
      <c r="L4" s="4" t="s">
        <v>9</v>
      </c>
      <c r="M4" s="5">
        <v>31.190975000000002</v>
      </c>
      <c r="N4" s="5">
        <v>31.681549999999994</v>
      </c>
    </row>
    <row r="5" spans="1:14" x14ac:dyDescent="0.3">
      <c r="A5" t="s">
        <v>6</v>
      </c>
      <c r="B5" t="s">
        <v>7</v>
      </c>
      <c r="C5" t="s">
        <v>8</v>
      </c>
      <c r="D5">
        <v>5</v>
      </c>
      <c r="E5">
        <v>33.164999999999999</v>
      </c>
      <c r="F5">
        <v>33.818199999999997</v>
      </c>
      <c r="G5">
        <v>214.1386</v>
      </c>
      <c r="H5">
        <v>168.1823</v>
      </c>
      <c r="I5">
        <v>161.86770000000001</v>
      </c>
      <c r="L5" s="4" t="s">
        <v>8</v>
      </c>
      <c r="M5" s="5">
        <v>30.081599999999998</v>
      </c>
      <c r="N5" s="5">
        <v>30.371549999999999</v>
      </c>
    </row>
    <row r="6" spans="1:14" x14ac:dyDescent="0.3">
      <c r="A6" t="s">
        <v>6</v>
      </c>
      <c r="B6" t="s">
        <v>7</v>
      </c>
      <c r="C6" t="s">
        <v>8</v>
      </c>
      <c r="D6">
        <v>7</v>
      </c>
      <c r="E6">
        <v>27.524699999999999</v>
      </c>
      <c r="F6">
        <v>27.473500000000001</v>
      </c>
      <c r="G6">
        <v>126.92829999999999</v>
      </c>
      <c r="H6">
        <v>109.1039</v>
      </c>
      <c r="I6">
        <v>107.26309999999999</v>
      </c>
      <c r="L6" s="3" t="s">
        <v>10</v>
      </c>
      <c r="M6" s="5">
        <v>32.604722222222222</v>
      </c>
      <c r="N6" s="5">
        <v>33.175122222222214</v>
      </c>
    </row>
    <row r="7" spans="1:14" x14ac:dyDescent="0.3">
      <c r="A7" t="s">
        <v>6</v>
      </c>
      <c r="B7" t="s">
        <v>7</v>
      </c>
      <c r="C7" t="s">
        <v>8</v>
      </c>
      <c r="D7">
        <v>8</v>
      </c>
      <c r="E7">
        <v>32.303899999999999</v>
      </c>
      <c r="F7">
        <v>32.844099999999997</v>
      </c>
      <c r="G7">
        <v>227.1721</v>
      </c>
      <c r="H7">
        <v>192.55840000000001</v>
      </c>
      <c r="I7">
        <v>187.75620000000001</v>
      </c>
      <c r="L7" s="4" t="s">
        <v>8</v>
      </c>
      <c r="M7" s="5">
        <v>32.604722222222222</v>
      </c>
      <c r="N7" s="5">
        <v>33.175122222222214</v>
      </c>
    </row>
    <row r="8" spans="1:14" x14ac:dyDescent="0.3">
      <c r="A8" t="s">
        <v>6</v>
      </c>
      <c r="B8" t="s">
        <v>7</v>
      </c>
      <c r="C8" t="s">
        <v>9</v>
      </c>
      <c r="D8">
        <v>4</v>
      </c>
      <c r="E8">
        <v>32.629600000000003</v>
      </c>
      <c r="F8">
        <v>33.198099999999997</v>
      </c>
      <c r="G8">
        <v>212.80109999999999</v>
      </c>
      <c r="H8">
        <v>186.7433</v>
      </c>
      <c r="I8">
        <v>187.9427</v>
      </c>
      <c r="L8" s="2" t="s">
        <v>11</v>
      </c>
      <c r="M8" s="5">
        <v>28.623236666666664</v>
      </c>
      <c r="N8" s="5">
        <v>28.357980000000001</v>
      </c>
    </row>
    <row r="9" spans="1:14" x14ac:dyDescent="0.3">
      <c r="A9" t="s">
        <v>6</v>
      </c>
      <c r="B9" t="s">
        <v>7</v>
      </c>
      <c r="C9" t="s">
        <v>9</v>
      </c>
      <c r="D9">
        <v>5</v>
      </c>
      <c r="E9">
        <v>33.368099999999998</v>
      </c>
      <c r="F9">
        <v>34.941099999999999</v>
      </c>
      <c r="G9">
        <v>244.6088</v>
      </c>
      <c r="H9">
        <v>203.99029999999999</v>
      </c>
      <c r="I9">
        <v>210.6353</v>
      </c>
      <c r="L9" s="3" t="s">
        <v>7</v>
      </c>
      <c r="M9" s="5">
        <v>26.754321052631578</v>
      </c>
      <c r="N9" s="5">
        <v>26.142173684210533</v>
      </c>
    </row>
    <row r="10" spans="1:14" x14ac:dyDescent="0.3">
      <c r="A10" t="s">
        <v>6</v>
      </c>
      <c r="B10" t="s">
        <v>7</v>
      </c>
      <c r="C10" t="s">
        <v>9</v>
      </c>
      <c r="D10">
        <v>7</v>
      </c>
      <c r="E10">
        <v>31.277000000000001</v>
      </c>
      <c r="F10">
        <v>30.8474</v>
      </c>
      <c r="G10">
        <v>191.39580000000001</v>
      </c>
      <c r="H10">
        <v>172.5171</v>
      </c>
      <c r="I10">
        <v>170.14789999999999</v>
      </c>
      <c r="L10" s="4" t="s">
        <v>9</v>
      </c>
      <c r="M10" s="5">
        <v>28.214963636363635</v>
      </c>
      <c r="N10" s="5">
        <v>27.987636363636366</v>
      </c>
    </row>
    <row r="11" spans="1:14" x14ac:dyDescent="0.3">
      <c r="A11" t="s">
        <v>6</v>
      </c>
      <c r="B11" t="s">
        <v>7</v>
      </c>
      <c r="C11" t="s">
        <v>9</v>
      </c>
      <c r="D11">
        <v>8</v>
      </c>
      <c r="E11">
        <v>27.4892</v>
      </c>
      <c r="F11">
        <v>27.739599999999999</v>
      </c>
      <c r="G11">
        <v>210.09440000000001</v>
      </c>
      <c r="H11">
        <v>187.84710000000001</v>
      </c>
      <c r="I11">
        <v>190.5146</v>
      </c>
      <c r="L11" s="4" t="s">
        <v>8</v>
      </c>
      <c r="M11" s="5">
        <v>24.745937500000004</v>
      </c>
      <c r="N11" s="5">
        <v>23.604662499999996</v>
      </c>
    </row>
    <row r="12" spans="1:14" x14ac:dyDescent="0.3">
      <c r="A12" t="s">
        <v>6</v>
      </c>
      <c r="B12" t="s">
        <v>10</v>
      </c>
      <c r="C12" t="s">
        <v>8</v>
      </c>
      <c r="D12">
        <v>1</v>
      </c>
      <c r="E12">
        <v>37.802999999999997</v>
      </c>
      <c r="F12">
        <v>37.890799999999999</v>
      </c>
      <c r="G12">
        <v>182.71170000000001</v>
      </c>
      <c r="H12">
        <v>160.3177</v>
      </c>
      <c r="I12">
        <v>159.05709999999999</v>
      </c>
      <c r="L12" s="3" t="s">
        <v>10</v>
      </c>
      <c r="M12" s="5">
        <v>31.851363636363637</v>
      </c>
      <c r="N12" s="5">
        <v>32.185281818181828</v>
      </c>
    </row>
    <row r="13" spans="1:14" x14ac:dyDescent="0.3">
      <c r="A13" t="s">
        <v>6</v>
      </c>
      <c r="B13" t="s">
        <v>10</v>
      </c>
      <c r="C13" t="s">
        <v>8</v>
      </c>
      <c r="D13">
        <v>2</v>
      </c>
      <c r="E13">
        <v>32.691600000000001</v>
      </c>
      <c r="F13">
        <v>32.958100000000002</v>
      </c>
      <c r="G13">
        <v>198.6036</v>
      </c>
      <c r="H13">
        <v>171.90549999999999</v>
      </c>
      <c r="I13">
        <v>177.68219999999999</v>
      </c>
      <c r="L13" s="4" t="s">
        <v>8</v>
      </c>
      <c r="M13" s="5">
        <v>31.851363636363637</v>
      </c>
      <c r="N13" s="5">
        <v>32.185281818181828</v>
      </c>
    </row>
    <row r="14" spans="1:14" x14ac:dyDescent="0.3">
      <c r="A14" t="s">
        <v>6</v>
      </c>
      <c r="B14" t="s">
        <v>10</v>
      </c>
      <c r="C14" t="s">
        <v>8</v>
      </c>
      <c r="D14">
        <v>3</v>
      </c>
      <c r="E14">
        <v>30.5351</v>
      </c>
      <c r="F14">
        <v>30.031600000000001</v>
      </c>
      <c r="G14">
        <v>161.77809999999999</v>
      </c>
      <c r="H14">
        <v>144.95820000000001</v>
      </c>
      <c r="I14">
        <v>143.57320000000001</v>
      </c>
      <c r="L14" s="2" t="s">
        <v>13</v>
      </c>
      <c r="M14" s="5">
        <v>29.742716326530616</v>
      </c>
      <c r="N14" s="5">
        <v>29.760632653061219</v>
      </c>
    </row>
    <row r="15" spans="1:14" x14ac:dyDescent="0.3">
      <c r="A15" t="s">
        <v>6</v>
      </c>
      <c r="B15" t="s">
        <v>10</v>
      </c>
      <c r="C15" t="s">
        <v>8</v>
      </c>
      <c r="D15">
        <v>4</v>
      </c>
      <c r="E15">
        <v>34.394799999999996</v>
      </c>
      <c r="F15">
        <v>34.988900000000001</v>
      </c>
      <c r="G15">
        <v>164.08009999999999</v>
      </c>
      <c r="H15">
        <v>120.12309999999999</v>
      </c>
      <c r="I15">
        <v>121.85080000000001</v>
      </c>
    </row>
    <row r="16" spans="1:14" x14ac:dyDescent="0.3">
      <c r="A16" t="s">
        <v>6</v>
      </c>
      <c r="B16" t="s">
        <v>10</v>
      </c>
      <c r="C16" t="s">
        <v>8</v>
      </c>
      <c r="D16">
        <v>5</v>
      </c>
      <c r="E16">
        <v>33.433799999999998</v>
      </c>
      <c r="F16">
        <v>34.466299999999997</v>
      </c>
      <c r="G16">
        <v>202.39240000000001</v>
      </c>
      <c r="H16">
        <v>177.99369999999999</v>
      </c>
      <c r="I16">
        <v>180.4796</v>
      </c>
    </row>
    <row r="17" spans="1:9" x14ac:dyDescent="0.3">
      <c r="A17" t="s">
        <v>6</v>
      </c>
      <c r="B17" t="s">
        <v>10</v>
      </c>
      <c r="C17" t="s">
        <v>8</v>
      </c>
      <c r="D17">
        <v>6</v>
      </c>
      <c r="E17">
        <v>31.290099999999999</v>
      </c>
      <c r="F17">
        <v>32.481699999999996</v>
      </c>
      <c r="G17">
        <v>200.91640000000001</v>
      </c>
      <c r="H17">
        <v>141.65360000000001</v>
      </c>
      <c r="I17">
        <v>141.44069999999999</v>
      </c>
    </row>
    <row r="18" spans="1:9" x14ac:dyDescent="0.3">
      <c r="A18" t="s">
        <v>6</v>
      </c>
      <c r="B18" t="s">
        <v>10</v>
      </c>
      <c r="C18" t="s">
        <v>8</v>
      </c>
      <c r="D18">
        <v>7</v>
      </c>
      <c r="E18">
        <v>34.002099999999999</v>
      </c>
      <c r="F18">
        <v>34.551000000000002</v>
      </c>
      <c r="G18">
        <v>179.46279999999999</v>
      </c>
      <c r="H18">
        <v>149.47319999999999</v>
      </c>
      <c r="I18">
        <v>149.87110000000001</v>
      </c>
    </row>
    <row r="19" spans="1:9" x14ac:dyDescent="0.3">
      <c r="A19" t="s">
        <v>6</v>
      </c>
      <c r="B19" t="s">
        <v>10</v>
      </c>
      <c r="C19" t="s">
        <v>8</v>
      </c>
      <c r="D19">
        <v>8</v>
      </c>
      <c r="E19">
        <v>28.456900000000001</v>
      </c>
      <c r="F19">
        <v>28.9678</v>
      </c>
      <c r="G19">
        <v>195.82</v>
      </c>
      <c r="H19">
        <v>153.32</v>
      </c>
      <c r="I19">
        <v>164.63810000000001</v>
      </c>
    </row>
    <row r="20" spans="1:9" x14ac:dyDescent="0.3">
      <c r="A20" t="s">
        <v>6</v>
      </c>
      <c r="B20" t="s">
        <v>10</v>
      </c>
      <c r="C20" t="s">
        <v>8</v>
      </c>
      <c r="D20">
        <v>9</v>
      </c>
      <c r="E20">
        <v>30.835100000000001</v>
      </c>
      <c r="F20">
        <v>32.239899999999999</v>
      </c>
      <c r="G20">
        <v>194.46549999999999</v>
      </c>
      <c r="H20">
        <v>139.0325</v>
      </c>
      <c r="I20">
        <v>131.62649999999999</v>
      </c>
    </row>
    <row r="21" spans="1:9" x14ac:dyDescent="0.3">
      <c r="A21" t="s">
        <v>11</v>
      </c>
      <c r="B21" t="s">
        <v>7</v>
      </c>
      <c r="C21" t="s">
        <v>8</v>
      </c>
      <c r="D21">
        <v>1</v>
      </c>
      <c r="E21">
        <v>23.303999999999998</v>
      </c>
      <c r="F21">
        <v>20.111999999999998</v>
      </c>
      <c r="G21">
        <v>270.31799999999998</v>
      </c>
      <c r="H21">
        <v>121.9462</v>
      </c>
      <c r="I21">
        <v>125.5714</v>
      </c>
    </row>
    <row r="22" spans="1:9" x14ac:dyDescent="0.3">
      <c r="A22" t="s">
        <v>11</v>
      </c>
      <c r="B22" t="s">
        <v>7</v>
      </c>
      <c r="C22" t="s">
        <v>8</v>
      </c>
      <c r="D22">
        <v>2</v>
      </c>
      <c r="E22">
        <v>19.3841</v>
      </c>
      <c r="F22">
        <v>19.645499999999998</v>
      </c>
      <c r="G22">
        <v>253.68960000000001</v>
      </c>
      <c r="H22">
        <v>238.21680000000001</v>
      </c>
      <c r="I22">
        <v>238.49279999999999</v>
      </c>
    </row>
    <row r="23" spans="1:9" x14ac:dyDescent="0.3">
      <c r="A23" t="s">
        <v>11</v>
      </c>
      <c r="B23" t="s">
        <v>7</v>
      </c>
      <c r="C23" t="s">
        <v>8</v>
      </c>
      <c r="D23">
        <v>3</v>
      </c>
      <c r="E23">
        <v>23.020900000000001</v>
      </c>
      <c r="F23">
        <v>19.7974</v>
      </c>
      <c r="G23">
        <v>272.90929999999997</v>
      </c>
      <c r="H23">
        <v>188.21520000000001</v>
      </c>
      <c r="I23">
        <v>191.54490000000001</v>
      </c>
    </row>
    <row r="24" spans="1:9" x14ac:dyDescent="0.3">
      <c r="A24" t="s">
        <v>11</v>
      </c>
      <c r="B24" t="s">
        <v>7</v>
      </c>
      <c r="C24" t="s">
        <v>8</v>
      </c>
      <c r="D24">
        <v>4</v>
      </c>
      <c r="E24">
        <v>19.611599999999999</v>
      </c>
      <c r="F24">
        <v>16.816299999999998</v>
      </c>
      <c r="G24">
        <v>271.85149999999999</v>
      </c>
      <c r="H24">
        <v>137.4699</v>
      </c>
      <c r="I24">
        <v>133.08420000000001</v>
      </c>
    </row>
    <row r="25" spans="1:9" x14ac:dyDescent="0.3">
      <c r="A25" t="s">
        <v>11</v>
      </c>
      <c r="B25" t="s">
        <v>7</v>
      </c>
      <c r="C25" t="s">
        <v>8</v>
      </c>
      <c r="D25">
        <v>5</v>
      </c>
      <c r="E25">
        <v>27.400500000000001</v>
      </c>
      <c r="F25">
        <v>28.454899999999999</v>
      </c>
      <c r="G25">
        <v>256.36130000000003</v>
      </c>
      <c r="H25">
        <v>235.54040000000001</v>
      </c>
      <c r="I25">
        <v>239.15209999999999</v>
      </c>
    </row>
    <row r="26" spans="1:9" x14ac:dyDescent="0.3">
      <c r="A26" t="s">
        <v>11</v>
      </c>
      <c r="B26" t="s">
        <v>7</v>
      </c>
      <c r="C26" t="s">
        <v>8</v>
      </c>
      <c r="D26">
        <v>7</v>
      </c>
      <c r="E26">
        <v>28.599399999999999</v>
      </c>
      <c r="F26">
        <v>27.438099999999999</v>
      </c>
      <c r="G26">
        <v>385.76479999999998</v>
      </c>
      <c r="H26">
        <v>271.79759999999999</v>
      </c>
      <c r="I26">
        <v>265.54149999999998</v>
      </c>
    </row>
    <row r="27" spans="1:9" x14ac:dyDescent="0.3">
      <c r="A27" t="s">
        <v>11</v>
      </c>
      <c r="B27" t="s">
        <v>7</v>
      </c>
      <c r="C27" t="s">
        <v>8</v>
      </c>
      <c r="D27">
        <v>8</v>
      </c>
      <c r="E27">
        <v>24.739100000000001</v>
      </c>
      <c r="F27">
        <v>24.461099999999998</v>
      </c>
      <c r="G27">
        <v>236.2603</v>
      </c>
      <c r="H27">
        <v>212.84440000000001</v>
      </c>
      <c r="I27">
        <v>213.00630000000001</v>
      </c>
    </row>
    <row r="28" spans="1:9" x14ac:dyDescent="0.3">
      <c r="A28" t="s">
        <v>11</v>
      </c>
      <c r="B28" t="s">
        <v>7</v>
      </c>
      <c r="C28" t="s">
        <v>8</v>
      </c>
      <c r="D28">
        <v>9</v>
      </c>
      <c r="E28">
        <v>31.907900000000001</v>
      </c>
      <c r="F28">
        <v>32.112000000000002</v>
      </c>
      <c r="G28">
        <v>267.81139999999999</v>
      </c>
      <c r="H28">
        <v>247.60820000000001</v>
      </c>
      <c r="I28">
        <v>246.8253</v>
      </c>
    </row>
    <row r="29" spans="1:9" x14ac:dyDescent="0.3">
      <c r="A29" t="s">
        <v>11</v>
      </c>
      <c r="B29" t="s">
        <v>7</v>
      </c>
      <c r="C29" t="s">
        <v>9</v>
      </c>
      <c r="D29">
        <v>1</v>
      </c>
      <c r="E29">
        <v>25.241</v>
      </c>
      <c r="F29">
        <v>25.325199999999999</v>
      </c>
      <c r="G29">
        <v>252.6695</v>
      </c>
      <c r="H29">
        <v>240.42330000000001</v>
      </c>
      <c r="I29">
        <v>239.11590000000001</v>
      </c>
    </row>
    <row r="30" spans="1:9" x14ac:dyDescent="0.3">
      <c r="A30" t="s">
        <v>11</v>
      </c>
      <c r="B30" t="s">
        <v>7</v>
      </c>
      <c r="C30" t="s">
        <v>9</v>
      </c>
      <c r="D30">
        <v>10</v>
      </c>
      <c r="E30">
        <v>25.903500000000001</v>
      </c>
      <c r="F30">
        <v>25.183</v>
      </c>
      <c r="G30">
        <v>214.87469999999999</v>
      </c>
      <c r="H30">
        <v>187.2518</v>
      </c>
      <c r="I30">
        <v>184.77180000000001</v>
      </c>
    </row>
    <row r="31" spans="1:9" x14ac:dyDescent="0.3">
      <c r="A31" t="s">
        <v>11</v>
      </c>
      <c r="B31" t="s">
        <v>7</v>
      </c>
      <c r="C31" t="s">
        <v>9</v>
      </c>
      <c r="D31">
        <v>11</v>
      </c>
      <c r="E31">
        <v>26.551600000000001</v>
      </c>
      <c r="F31">
        <v>27.381399999999999</v>
      </c>
      <c r="G31">
        <v>205.7165</v>
      </c>
      <c r="H31">
        <v>162.20660000000001</v>
      </c>
      <c r="I31">
        <v>155.51599999999999</v>
      </c>
    </row>
    <row r="32" spans="1:9" x14ac:dyDescent="0.3">
      <c r="A32" t="s">
        <v>11</v>
      </c>
      <c r="B32" t="s">
        <v>7</v>
      </c>
      <c r="C32" t="s">
        <v>9</v>
      </c>
      <c r="D32">
        <v>2</v>
      </c>
      <c r="E32">
        <v>23.459700000000002</v>
      </c>
      <c r="F32">
        <v>20.654599999999999</v>
      </c>
      <c r="G32">
        <v>238.1497</v>
      </c>
      <c r="H32">
        <v>217.7355</v>
      </c>
      <c r="I32">
        <v>215.91309999999999</v>
      </c>
    </row>
    <row r="33" spans="1:9" x14ac:dyDescent="0.3">
      <c r="A33" t="s">
        <v>11</v>
      </c>
      <c r="B33" t="s">
        <v>7</v>
      </c>
      <c r="C33" t="s">
        <v>9</v>
      </c>
      <c r="D33">
        <v>3</v>
      </c>
      <c r="E33">
        <v>34.488500000000002</v>
      </c>
      <c r="F33">
        <v>34.611800000000002</v>
      </c>
      <c r="G33">
        <v>175.01079999999999</v>
      </c>
      <c r="H33">
        <v>160.7602</v>
      </c>
      <c r="I33">
        <v>161.13509999999999</v>
      </c>
    </row>
    <row r="34" spans="1:9" x14ac:dyDescent="0.3">
      <c r="A34" t="s">
        <v>11</v>
      </c>
      <c r="B34" t="s">
        <v>7</v>
      </c>
      <c r="C34" t="s">
        <v>9</v>
      </c>
      <c r="D34">
        <v>4</v>
      </c>
      <c r="E34">
        <v>23.7422</v>
      </c>
      <c r="F34">
        <v>22.097100000000001</v>
      </c>
      <c r="G34">
        <v>228.94</v>
      </c>
      <c r="H34">
        <v>208.37049999999999</v>
      </c>
      <c r="I34">
        <v>204.6053</v>
      </c>
    </row>
    <row r="35" spans="1:9" x14ac:dyDescent="0.3">
      <c r="A35" t="s">
        <v>11</v>
      </c>
      <c r="B35" t="s">
        <v>7</v>
      </c>
      <c r="C35" t="s">
        <v>9</v>
      </c>
      <c r="D35">
        <v>5</v>
      </c>
      <c r="E35">
        <v>25.535799999999998</v>
      </c>
      <c r="F35">
        <v>25.485399999999998</v>
      </c>
      <c r="G35">
        <v>207.4254</v>
      </c>
      <c r="H35">
        <v>177.99379999999999</v>
      </c>
      <c r="I35">
        <v>182.31110000000001</v>
      </c>
    </row>
    <row r="36" spans="1:9" x14ac:dyDescent="0.3">
      <c r="A36" t="s">
        <v>11</v>
      </c>
      <c r="B36" t="s">
        <v>7</v>
      </c>
      <c r="C36" t="s">
        <v>9</v>
      </c>
      <c r="D36">
        <v>6</v>
      </c>
      <c r="E36">
        <v>29.709499999999998</v>
      </c>
      <c r="F36">
        <v>28.485800000000001</v>
      </c>
      <c r="G36">
        <v>258.5523</v>
      </c>
      <c r="H36">
        <v>224.04519999999999</v>
      </c>
      <c r="I36">
        <v>218.5873</v>
      </c>
    </row>
    <row r="37" spans="1:9" x14ac:dyDescent="0.3">
      <c r="A37" t="s">
        <v>11</v>
      </c>
      <c r="B37" t="s">
        <v>7</v>
      </c>
      <c r="C37" t="s">
        <v>9</v>
      </c>
      <c r="D37">
        <v>7</v>
      </c>
      <c r="E37">
        <v>32.773600000000002</v>
      </c>
      <c r="F37">
        <v>35.008400000000002</v>
      </c>
      <c r="G37">
        <v>249.73509999999999</v>
      </c>
      <c r="H37">
        <v>205.43340000000001</v>
      </c>
      <c r="I37">
        <v>197.63409999999999</v>
      </c>
    </row>
    <row r="38" spans="1:9" x14ac:dyDescent="0.3">
      <c r="A38" t="s">
        <v>11</v>
      </c>
      <c r="B38" t="s">
        <v>7</v>
      </c>
      <c r="C38" t="s">
        <v>9</v>
      </c>
      <c r="D38">
        <v>8</v>
      </c>
      <c r="E38">
        <v>32.698300000000003</v>
      </c>
      <c r="F38">
        <v>32.875900000000001</v>
      </c>
      <c r="G38">
        <v>228.31559999999999</v>
      </c>
      <c r="H38">
        <v>196.12129999999999</v>
      </c>
      <c r="I38">
        <v>198.126</v>
      </c>
    </row>
    <row r="39" spans="1:9" x14ac:dyDescent="0.3">
      <c r="A39" t="s">
        <v>11</v>
      </c>
      <c r="B39" t="s">
        <v>7</v>
      </c>
      <c r="C39" t="s">
        <v>9</v>
      </c>
      <c r="D39">
        <v>9</v>
      </c>
      <c r="E39">
        <v>30.260899999999999</v>
      </c>
      <c r="F39">
        <v>30.755400000000002</v>
      </c>
      <c r="G39">
        <v>223.2381</v>
      </c>
      <c r="H39">
        <v>182.3819</v>
      </c>
      <c r="I39">
        <v>183.13380000000001</v>
      </c>
    </row>
    <row r="40" spans="1:9" x14ac:dyDescent="0.3">
      <c r="A40" t="s">
        <v>11</v>
      </c>
      <c r="B40" t="s">
        <v>10</v>
      </c>
      <c r="C40" t="s">
        <v>8</v>
      </c>
      <c r="D40">
        <v>1</v>
      </c>
      <c r="E40">
        <v>30.1282</v>
      </c>
      <c r="F40">
        <v>30.325099999999999</v>
      </c>
      <c r="G40">
        <v>143.88929999999999</v>
      </c>
      <c r="H40">
        <v>130.46549999999999</v>
      </c>
      <c r="I40">
        <v>130.2123</v>
      </c>
    </row>
    <row r="41" spans="1:9" x14ac:dyDescent="0.3">
      <c r="A41" t="s">
        <v>11</v>
      </c>
      <c r="B41" t="s">
        <v>10</v>
      </c>
      <c r="C41" t="s">
        <v>8</v>
      </c>
      <c r="D41">
        <v>10</v>
      </c>
      <c r="E41">
        <v>29.125699999999998</v>
      </c>
      <c r="F41">
        <v>30.4954</v>
      </c>
      <c r="G41">
        <v>176.70570000000001</v>
      </c>
      <c r="H41">
        <v>92.526200000000003</v>
      </c>
      <c r="I41">
        <v>116.5523</v>
      </c>
    </row>
    <row r="42" spans="1:9" x14ac:dyDescent="0.3">
      <c r="A42" t="s">
        <v>11</v>
      </c>
      <c r="B42" t="s">
        <v>10</v>
      </c>
      <c r="C42" t="s">
        <v>8</v>
      </c>
      <c r="D42">
        <v>11</v>
      </c>
      <c r="E42">
        <v>30.111899999999999</v>
      </c>
      <c r="F42">
        <v>29.412299999999998</v>
      </c>
      <c r="G42">
        <v>185.92240000000001</v>
      </c>
      <c r="H42">
        <v>145.34389999999999</v>
      </c>
      <c r="I42">
        <v>140.04679999999999</v>
      </c>
    </row>
    <row r="43" spans="1:9" x14ac:dyDescent="0.3">
      <c r="A43" t="s">
        <v>11</v>
      </c>
      <c r="B43" t="s">
        <v>10</v>
      </c>
      <c r="C43" t="s">
        <v>8</v>
      </c>
      <c r="D43">
        <v>2</v>
      </c>
      <c r="E43">
        <v>33.1631</v>
      </c>
      <c r="F43">
        <v>32.878599999999999</v>
      </c>
      <c r="G43">
        <v>162.88399999999999</v>
      </c>
      <c r="H43">
        <v>141.0703</v>
      </c>
      <c r="I43">
        <v>139.12020000000001</v>
      </c>
    </row>
    <row r="44" spans="1:9" x14ac:dyDescent="0.3">
      <c r="A44" t="s">
        <v>11</v>
      </c>
      <c r="B44" t="s">
        <v>10</v>
      </c>
      <c r="C44" t="s">
        <v>8</v>
      </c>
      <c r="D44">
        <v>3</v>
      </c>
      <c r="E44">
        <v>33.1631</v>
      </c>
      <c r="F44">
        <v>32.878599999999999</v>
      </c>
      <c r="G44">
        <v>162.88399999999999</v>
      </c>
      <c r="H44">
        <v>141.0703</v>
      </c>
      <c r="I44">
        <v>139.12020000000001</v>
      </c>
    </row>
    <row r="45" spans="1:9" x14ac:dyDescent="0.3">
      <c r="A45" t="s">
        <v>11</v>
      </c>
      <c r="B45" t="s">
        <v>10</v>
      </c>
      <c r="C45" t="s">
        <v>8</v>
      </c>
      <c r="D45">
        <v>4</v>
      </c>
      <c r="E45">
        <v>29.818100000000001</v>
      </c>
      <c r="F45">
        <v>30.1494</v>
      </c>
      <c r="G45">
        <v>159.27459999999999</v>
      </c>
      <c r="H45">
        <v>140.16990000000001</v>
      </c>
      <c r="I45">
        <v>135.61349999999999</v>
      </c>
    </row>
    <row r="46" spans="1:9" x14ac:dyDescent="0.3">
      <c r="A46" t="s">
        <v>11</v>
      </c>
      <c r="B46" t="s">
        <v>10</v>
      </c>
      <c r="C46" t="s">
        <v>8</v>
      </c>
      <c r="D46">
        <v>5</v>
      </c>
      <c r="E46">
        <v>31.967500000000001</v>
      </c>
      <c r="F46">
        <v>32.091000000000001</v>
      </c>
      <c r="G46">
        <v>194.01779999999999</v>
      </c>
      <c r="H46">
        <v>160.9127</v>
      </c>
      <c r="I46">
        <v>157.66120000000001</v>
      </c>
    </row>
    <row r="47" spans="1:9" x14ac:dyDescent="0.3">
      <c r="A47" t="s">
        <v>11</v>
      </c>
      <c r="B47" t="s">
        <v>10</v>
      </c>
      <c r="C47" t="s">
        <v>8</v>
      </c>
      <c r="D47">
        <v>6</v>
      </c>
      <c r="E47">
        <v>32.037799999999997</v>
      </c>
      <c r="F47">
        <v>33.626899999999999</v>
      </c>
      <c r="G47">
        <v>190.1259</v>
      </c>
      <c r="H47">
        <v>143.50149999999999</v>
      </c>
      <c r="I47">
        <v>151.78120000000001</v>
      </c>
    </row>
    <row r="48" spans="1:9" x14ac:dyDescent="0.3">
      <c r="A48" t="s">
        <v>11</v>
      </c>
      <c r="B48" t="s">
        <v>10</v>
      </c>
      <c r="C48" t="s">
        <v>8</v>
      </c>
      <c r="D48">
        <v>7</v>
      </c>
      <c r="E48">
        <v>33.241900000000001</v>
      </c>
      <c r="F48">
        <v>34.284700000000001</v>
      </c>
      <c r="G48">
        <v>165.1523</v>
      </c>
      <c r="H48">
        <v>139.2208</v>
      </c>
      <c r="I48">
        <v>141.0472</v>
      </c>
    </row>
    <row r="49" spans="1:9" x14ac:dyDescent="0.3">
      <c r="A49" t="s">
        <v>11</v>
      </c>
      <c r="B49" t="s">
        <v>10</v>
      </c>
      <c r="C49" t="s">
        <v>8</v>
      </c>
      <c r="D49">
        <v>8</v>
      </c>
      <c r="E49">
        <v>34.924700000000001</v>
      </c>
      <c r="F49">
        <v>35.401400000000002</v>
      </c>
      <c r="G49">
        <v>141.90029999999999</v>
      </c>
      <c r="H49">
        <v>125.2978</v>
      </c>
      <c r="I49">
        <v>124.3146</v>
      </c>
    </row>
    <row r="50" spans="1:9" x14ac:dyDescent="0.3">
      <c r="A50" t="s">
        <v>11</v>
      </c>
      <c r="B50" t="s">
        <v>10</v>
      </c>
      <c r="C50" t="s">
        <v>8</v>
      </c>
      <c r="D50">
        <v>9</v>
      </c>
      <c r="E50">
        <v>32.683</v>
      </c>
      <c r="F50">
        <v>32.494700000000002</v>
      </c>
      <c r="G50">
        <v>162.2321</v>
      </c>
      <c r="H50">
        <v>140.73249999999999</v>
      </c>
      <c r="I50">
        <v>143.27160000000001</v>
      </c>
    </row>
  </sheetData>
  <autoFilter ref="A1:I50" xr:uid="{1E21A00A-6CD3-434B-A966-4CAE9C210A98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D5C-0F39-494F-90D2-A42E6EE2BF4E}">
  <dimension ref="A1:L14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30.6640625" bestFit="1" customWidth="1"/>
    <col min="3" max="3" width="31.88671875" bestFit="1" customWidth="1"/>
    <col min="4" max="6" width="33.44140625" bestFit="1" customWidth="1"/>
  </cols>
  <sheetData>
    <row r="1" spans="1:12" x14ac:dyDescent="0.3">
      <c r="A1" s="1" t="s">
        <v>12</v>
      </c>
      <c r="B1" t="s">
        <v>19</v>
      </c>
      <c r="C1" t="s">
        <v>21</v>
      </c>
      <c r="D1" t="s">
        <v>20</v>
      </c>
      <c r="G1" s="1"/>
      <c r="H1" s="1"/>
      <c r="I1" s="1"/>
      <c r="J1" s="1"/>
      <c r="K1" s="1"/>
      <c r="L1" s="1"/>
    </row>
    <row r="2" spans="1:12" x14ac:dyDescent="0.3">
      <c r="A2" s="2" t="s">
        <v>6</v>
      </c>
      <c r="B2" s="5">
        <v>200.65333684210529</v>
      </c>
      <c r="C2" s="5">
        <v>169.88485789473683</v>
      </c>
      <c r="D2" s="5">
        <v>170.36706842105264</v>
      </c>
    </row>
    <row r="3" spans="1:12" x14ac:dyDescent="0.3">
      <c r="A3" s="3" t="s">
        <v>7</v>
      </c>
      <c r="B3" s="5">
        <v>213.21828000000005</v>
      </c>
      <c r="C3" s="5">
        <v>186.90348</v>
      </c>
      <c r="D3" s="5">
        <v>186.6755</v>
      </c>
    </row>
    <row r="4" spans="1:12" x14ac:dyDescent="0.3">
      <c r="A4" s="4" t="s">
        <v>9</v>
      </c>
      <c r="B4" s="5">
        <v>214.72502500000002</v>
      </c>
      <c r="C4" s="5">
        <v>187.77445</v>
      </c>
      <c r="D4" s="5">
        <v>189.81012499999997</v>
      </c>
    </row>
    <row r="5" spans="1:12" x14ac:dyDescent="0.3">
      <c r="A5" s="4" t="s">
        <v>8</v>
      </c>
      <c r="B5" s="5">
        <v>212.21378333333334</v>
      </c>
      <c r="C5" s="5">
        <v>186.32283333333331</v>
      </c>
      <c r="D5" s="5">
        <v>184.58574999999999</v>
      </c>
    </row>
    <row r="6" spans="1:12" x14ac:dyDescent="0.3">
      <c r="A6" s="3" t="s">
        <v>10</v>
      </c>
      <c r="B6" s="5">
        <v>186.6922888888889</v>
      </c>
      <c r="C6" s="5">
        <v>150.97527777777776</v>
      </c>
      <c r="D6" s="5">
        <v>152.24658888888888</v>
      </c>
    </row>
    <row r="7" spans="1:12" x14ac:dyDescent="0.3">
      <c r="A7" s="4" t="s">
        <v>8</v>
      </c>
      <c r="B7" s="5">
        <v>186.6922888888889</v>
      </c>
      <c r="C7" s="5">
        <v>150.97527777777776</v>
      </c>
      <c r="D7" s="5">
        <v>152.24658888888888</v>
      </c>
    </row>
    <row r="8" spans="1:12" x14ac:dyDescent="0.3">
      <c r="A8" s="2" t="s">
        <v>11</v>
      </c>
      <c r="B8" s="5">
        <v>218.08607666666666</v>
      </c>
      <c r="C8" s="5">
        <v>177.22245333333336</v>
      </c>
      <c r="D8" s="5">
        <v>177.09363666666667</v>
      </c>
    </row>
    <row r="9" spans="1:12" x14ac:dyDescent="0.3">
      <c r="A9" s="3" t="s">
        <v>7</v>
      </c>
      <c r="B9" s="5">
        <v>247.2417842105263</v>
      </c>
      <c r="C9" s="5">
        <v>200.86116842105264</v>
      </c>
      <c r="D9" s="5">
        <v>199.68778947368415</v>
      </c>
    </row>
    <row r="10" spans="1:12" x14ac:dyDescent="0.3">
      <c r="A10" s="4" t="s">
        <v>9</v>
      </c>
      <c r="B10" s="5">
        <v>225.69342727272726</v>
      </c>
      <c r="C10" s="5">
        <v>196.61122727272729</v>
      </c>
      <c r="D10" s="5">
        <v>194.6226818181818</v>
      </c>
    </row>
    <row r="11" spans="1:12" x14ac:dyDescent="0.3">
      <c r="A11" s="4" t="s">
        <v>8</v>
      </c>
      <c r="B11" s="5">
        <v>276.87077499999998</v>
      </c>
      <c r="C11" s="5">
        <v>206.7048375</v>
      </c>
      <c r="D11" s="5">
        <v>206.65231249999999</v>
      </c>
    </row>
    <row r="12" spans="1:12" x14ac:dyDescent="0.3">
      <c r="A12" s="3" t="s">
        <v>10</v>
      </c>
      <c r="B12" s="5">
        <v>167.72621818181818</v>
      </c>
      <c r="C12" s="5">
        <v>136.39194545454546</v>
      </c>
      <c r="D12" s="5">
        <v>138.06737272727273</v>
      </c>
    </row>
    <row r="13" spans="1:12" x14ac:dyDescent="0.3">
      <c r="A13" s="4" t="s">
        <v>8</v>
      </c>
      <c r="B13" s="5">
        <v>167.72621818181818</v>
      </c>
      <c r="C13" s="5">
        <v>136.39194545454546</v>
      </c>
      <c r="D13" s="5">
        <v>138.06737272727273</v>
      </c>
    </row>
    <row r="14" spans="1:12" x14ac:dyDescent="0.3">
      <c r="A14" s="2" t="s">
        <v>13</v>
      </c>
      <c r="B14" s="5">
        <v>211.32644285714289</v>
      </c>
      <c r="C14" s="5">
        <v>174.37726326530611</v>
      </c>
      <c r="D14" s="5">
        <v>174.48537551020414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Alexandre Simão</dc:creator>
  <cp:lastModifiedBy>Tiago Alexandre Simão</cp:lastModifiedBy>
  <dcterms:created xsi:type="dcterms:W3CDTF">2020-12-14T16:45:03Z</dcterms:created>
  <dcterms:modified xsi:type="dcterms:W3CDTF">2020-12-15T16:56:08Z</dcterms:modified>
</cp:coreProperties>
</file>